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nuar/Library/Containers/com.microsoft.Excel/Data/tmp/finance_brain/"/>
    </mc:Choice>
  </mc:AlternateContent>
  <xr:revisionPtr revIDLastSave="0" documentId="11_DD3CE363960F099C8A6BA6BA839F1C11BEDECD50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Cover" sheetId="1" r:id="rId1"/>
    <sheet name="Assumptions" sheetId="2" r:id="rId2"/>
    <sheet name="COA" sheetId="3" r:id="rId3"/>
    <sheet name="Departments" sheetId="4" r:id="rId4"/>
    <sheet name="Actuals" sheetId="5" r:id="rId5"/>
    <sheet name="Budget" sheetId="6" r:id="rId6"/>
    <sheet name="BvA Summary" sheetId="7" r:id="rId7"/>
    <sheet name="Dept Variance" sheetId="8" r:id="rId8"/>
    <sheet name="Commentary" sheetId="9" r:id="rId9"/>
  </sheets>
  <definedNames>
    <definedName name="BenefitsLoad">Assumptions!$B$3</definedName>
    <definedName name="BonusPct">Assumptions!$B$4</definedName>
    <definedName name="CommissionRate">Assumptions!$B$5</definedName>
    <definedName name="FX_EUR_USD">Assumptions!$B$2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8" l="1"/>
  <c r="D7" i="8"/>
  <c r="F7" i="8" s="1"/>
  <c r="G7" i="8" s="1"/>
  <c r="H7" i="8" s="1"/>
  <c r="C7" i="8"/>
  <c r="B7" i="8"/>
  <c r="E6" i="8"/>
  <c r="D6" i="8"/>
  <c r="F6" i="8" s="1"/>
  <c r="G6" i="8" s="1"/>
  <c r="H6" i="8" s="1"/>
  <c r="C6" i="8"/>
  <c r="B6" i="8"/>
  <c r="E5" i="8"/>
  <c r="D5" i="8"/>
  <c r="F5" i="8" s="1"/>
  <c r="G5" i="8" s="1"/>
  <c r="H5" i="8" s="1"/>
  <c r="C5" i="8"/>
  <c r="B5" i="8"/>
  <c r="E4" i="8"/>
  <c r="D4" i="8"/>
  <c r="F4" i="8" s="1"/>
  <c r="G4" i="8" s="1"/>
  <c r="H4" i="8" s="1"/>
  <c r="C4" i="8"/>
  <c r="B4" i="8"/>
  <c r="E3" i="8"/>
  <c r="D3" i="8"/>
  <c r="F3" i="8" s="1"/>
  <c r="G3" i="8" s="1"/>
  <c r="H3" i="8" s="1"/>
  <c r="C3" i="8"/>
  <c r="B3" i="8"/>
  <c r="E2" i="8"/>
  <c r="E8" i="8" s="1"/>
  <c r="D2" i="8"/>
  <c r="C2" i="8"/>
  <c r="B2" i="8"/>
  <c r="C38" i="7"/>
  <c r="B38" i="7"/>
  <c r="D37" i="7"/>
  <c r="D36" i="7"/>
  <c r="D35" i="7"/>
  <c r="D34" i="7"/>
  <c r="D33" i="7"/>
  <c r="D32" i="7"/>
  <c r="D38" i="7" s="1"/>
  <c r="K24" i="7"/>
  <c r="J24" i="7"/>
  <c r="L24" i="7" s="1"/>
  <c r="M24" i="7" s="1"/>
  <c r="I24" i="7"/>
  <c r="H24" i="7"/>
  <c r="G24" i="7"/>
  <c r="F24" i="7"/>
  <c r="E24" i="7"/>
  <c r="D24" i="7"/>
  <c r="C24" i="7"/>
  <c r="B24" i="7"/>
  <c r="K23" i="7"/>
  <c r="J23" i="7"/>
  <c r="L23" i="7" s="1"/>
  <c r="M23" i="7" s="1"/>
  <c r="I23" i="7"/>
  <c r="H23" i="7"/>
  <c r="G23" i="7"/>
  <c r="F23" i="7"/>
  <c r="E23" i="7"/>
  <c r="D23" i="7"/>
  <c r="C23" i="7"/>
  <c r="B23" i="7"/>
  <c r="K22" i="7"/>
  <c r="J22" i="7"/>
  <c r="L22" i="7" s="1"/>
  <c r="M22" i="7" s="1"/>
  <c r="I22" i="7"/>
  <c r="H22" i="7"/>
  <c r="G22" i="7"/>
  <c r="F22" i="7"/>
  <c r="E22" i="7"/>
  <c r="D22" i="7"/>
  <c r="C22" i="7"/>
  <c r="B22" i="7"/>
  <c r="K21" i="7"/>
  <c r="J21" i="7"/>
  <c r="L21" i="7" s="1"/>
  <c r="M21" i="7" s="1"/>
  <c r="I21" i="7"/>
  <c r="H21" i="7"/>
  <c r="G21" i="7"/>
  <c r="F21" i="7"/>
  <c r="E21" i="7"/>
  <c r="D21" i="7"/>
  <c r="C21" i="7"/>
  <c r="B21" i="7"/>
  <c r="K20" i="7"/>
  <c r="J20" i="7"/>
  <c r="L20" i="7" s="1"/>
  <c r="M20" i="7" s="1"/>
  <c r="I20" i="7"/>
  <c r="H20" i="7"/>
  <c r="G20" i="7"/>
  <c r="F20" i="7"/>
  <c r="E20" i="7"/>
  <c r="D20" i="7"/>
  <c r="C20" i="7"/>
  <c r="B20" i="7"/>
  <c r="K19" i="7"/>
  <c r="J19" i="7"/>
  <c r="L19" i="7" s="1"/>
  <c r="M19" i="7" s="1"/>
  <c r="I19" i="7"/>
  <c r="H19" i="7"/>
  <c r="G19" i="7"/>
  <c r="F19" i="7"/>
  <c r="E19" i="7"/>
  <c r="D19" i="7"/>
  <c r="C19" i="7"/>
  <c r="B19" i="7"/>
  <c r="K18" i="7"/>
  <c r="J18" i="7"/>
  <c r="L18" i="7" s="1"/>
  <c r="M18" i="7" s="1"/>
  <c r="I18" i="7"/>
  <c r="H18" i="7"/>
  <c r="G18" i="7"/>
  <c r="F18" i="7"/>
  <c r="E18" i="7"/>
  <c r="D18" i="7"/>
  <c r="C18" i="7"/>
  <c r="B18" i="7"/>
  <c r="K17" i="7"/>
  <c r="J17" i="7"/>
  <c r="L17" i="7" s="1"/>
  <c r="M17" i="7" s="1"/>
  <c r="I17" i="7"/>
  <c r="H17" i="7"/>
  <c r="G17" i="7"/>
  <c r="F17" i="7"/>
  <c r="E17" i="7"/>
  <c r="D17" i="7"/>
  <c r="C17" i="7"/>
  <c r="B17" i="7"/>
  <c r="K16" i="7"/>
  <c r="J16" i="7"/>
  <c r="L16" i="7" s="1"/>
  <c r="M16" i="7" s="1"/>
  <c r="I16" i="7"/>
  <c r="H16" i="7"/>
  <c r="G16" i="7"/>
  <c r="F16" i="7"/>
  <c r="E16" i="7"/>
  <c r="D16" i="7"/>
  <c r="C16" i="7"/>
  <c r="B16" i="7"/>
  <c r="K15" i="7"/>
  <c r="J15" i="7"/>
  <c r="L15" i="7" s="1"/>
  <c r="M15" i="7" s="1"/>
  <c r="I15" i="7"/>
  <c r="H15" i="7"/>
  <c r="G15" i="7"/>
  <c r="F15" i="7"/>
  <c r="E15" i="7"/>
  <c r="D15" i="7"/>
  <c r="C15" i="7"/>
  <c r="B15" i="7"/>
  <c r="K14" i="7"/>
  <c r="J14" i="7"/>
  <c r="L14" i="7" s="1"/>
  <c r="M14" i="7" s="1"/>
  <c r="I14" i="7"/>
  <c r="H14" i="7"/>
  <c r="G14" i="7"/>
  <c r="F14" i="7"/>
  <c r="E14" i="7"/>
  <c r="D14" i="7"/>
  <c r="C14" i="7"/>
  <c r="B14" i="7"/>
  <c r="K13" i="7"/>
  <c r="K25" i="7" s="1"/>
  <c r="J13" i="7"/>
  <c r="I13" i="7"/>
  <c r="I25" i="7" s="1"/>
  <c r="H13" i="7"/>
  <c r="H25" i="7" s="1"/>
  <c r="G13" i="7"/>
  <c r="G25" i="7" s="1"/>
  <c r="F13" i="7"/>
  <c r="F25" i="7" s="1"/>
  <c r="E13" i="7"/>
  <c r="E25" i="7" s="1"/>
  <c r="D13" i="7"/>
  <c r="D25" i="7" s="1"/>
  <c r="C13" i="7"/>
  <c r="B13" i="7"/>
  <c r="K9" i="7"/>
  <c r="J9" i="7"/>
  <c r="L9" i="7" s="1"/>
  <c r="M9" i="7" s="1"/>
  <c r="I9" i="7"/>
  <c r="H9" i="7"/>
  <c r="G9" i="7"/>
  <c r="F9" i="7"/>
  <c r="E9" i="7"/>
  <c r="D9" i="7"/>
  <c r="C9" i="7"/>
  <c r="B9" i="7"/>
  <c r="K8" i="7"/>
  <c r="K10" i="7" s="1"/>
  <c r="J8" i="7"/>
  <c r="I8" i="7"/>
  <c r="I10" i="7" s="1"/>
  <c r="H8" i="7"/>
  <c r="H10" i="7" s="1"/>
  <c r="G8" i="7"/>
  <c r="G10" i="7" s="1"/>
  <c r="F8" i="7"/>
  <c r="F10" i="7" s="1"/>
  <c r="E8" i="7"/>
  <c r="E10" i="7" s="1"/>
  <c r="D8" i="7"/>
  <c r="D10" i="7" s="1"/>
  <c r="C8" i="7"/>
  <c r="B8" i="7"/>
  <c r="K6" i="7"/>
  <c r="J6" i="7"/>
  <c r="L6" i="7" s="1"/>
  <c r="M6" i="7" s="1"/>
  <c r="I6" i="7"/>
  <c r="H6" i="7"/>
  <c r="G6" i="7"/>
  <c r="F6" i="7"/>
  <c r="E6" i="7"/>
  <c r="D6" i="7"/>
  <c r="C6" i="7"/>
  <c r="B6" i="7"/>
  <c r="K5" i="7"/>
  <c r="K7" i="7" s="1"/>
  <c r="K11" i="7" s="1"/>
  <c r="J5" i="7"/>
  <c r="I5" i="7"/>
  <c r="I7" i="7" s="1"/>
  <c r="I11" i="7" s="1"/>
  <c r="H5" i="7"/>
  <c r="H7" i="7" s="1"/>
  <c r="H11" i="7" s="1"/>
  <c r="G5" i="7"/>
  <c r="G7" i="7" s="1"/>
  <c r="G11" i="7" s="1"/>
  <c r="F5" i="7"/>
  <c r="F7" i="7" s="1"/>
  <c r="F11" i="7" s="1"/>
  <c r="E5" i="7"/>
  <c r="E7" i="7" s="1"/>
  <c r="E11" i="7" s="1"/>
  <c r="D5" i="7"/>
  <c r="D7" i="7" s="1"/>
  <c r="D11" i="7" s="1"/>
  <c r="C5" i="7"/>
  <c r="B5" i="7"/>
  <c r="D8" i="8" l="1"/>
  <c r="F2" i="8"/>
  <c r="L13" i="7"/>
  <c r="J25" i="7"/>
  <c r="L8" i="7"/>
  <c r="J10" i="7"/>
  <c r="K12" i="7"/>
  <c r="K26" i="7"/>
  <c r="K27" i="7" s="1"/>
  <c r="J7" i="7"/>
  <c r="J11" i="7" s="1"/>
  <c r="L5" i="7"/>
  <c r="I12" i="7"/>
  <c r="I26" i="7"/>
  <c r="I27" i="7" s="1"/>
  <c r="H12" i="7"/>
  <c r="H26" i="7"/>
  <c r="H27" i="7" s="1"/>
  <c r="G12" i="7"/>
  <c r="G26" i="7"/>
  <c r="G27" i="7" s="1"/>
  <c r="F12" i="7"/>
  <c r="F26" i="7"/>
  <c r="F27" i="7" s="1"/>
  <c r="E12" i="7"/>
  <c r="E26" i="7"/>
  <c r="E27" i="7" s="1"/>
  <c r="D12" i="7"/>
  <c r="D26" i="7"/>
  <c r="D27" i="7" s="1"/>
  <c r="G2" i="8" l="1"/>
  <c r="H2" i="8" s="1"/>
  <c r="F8" i="8"/>
  <c r="G8" i="8" s="1"/>
  <c r="M13" i="7"/>
  <c r="L25" i="7"/>
  <c r="M25" i="7" s="1"/>
  <c r="M8" i="7"/>
  <c r="L10" i="7"/>
  <c r="M10" i="7" s="1"/>
  <c r="J12" i="7"/>
  <c r="L12" i="7" s="1"/>
  <c r="J26" i="7"/>
  <c r="J27" i="7" s="1"/>
  <c r="L27" i="7" s="1"/>
  <c r="M5" i="7"/>
  <c r="L7" i="7"/>
  <c r="M7" i="7" l="1"/>
  <c r="L11" i="7"/>
  <c r="M11" i="7" l="1"/>
  <c r="L26" i="7"/>
  <c r="M2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Treasury</author>
    <author>Maya Chen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Manual input. Updated quarterly by Treasury. Do not overwrite with actual rates.</t>
        </r>
      </text>
    </comment>
    <comment ref="B3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Changed from 20% to 22% on 2026-07-14. The Headcount Plan still has 22% typed in; check it when this changes.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Chen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Long format GL extract. EU rows are in EUR; the BvA Summary converts them with FX_EUR_USD. September rows were appended on 2026-10-06.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 Chen</author>
  </authors>
  <commentList>
    <comment ref="B1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FP&amp;A definition: (Revenue - COGS) / Revenue. COGS = hosting + services delivery. Customer Success is Opex here. The Board KPI pack uses the investor definition that includes CS cost.</t>
        </r>
      </text>
    </comment>
    <comment ref="B3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Pasted from Ardent_FY26_Headcount_Plan.xlsx, Roster, active at Sep 30, on 2026-10-02 before two R&amp;D September terminations were processed. Not linked.</t>
        </r>
      </text>
    </comment>
  </commentList>
</comments>
</file>

<file path=xl/sharedStrings.xml><?xml version="1.0" encoding="utf-8"?>
<sst xmlns="http://schemas.openxmlformats.org/spreadsheetml/2006/main" count="10098" uniqueCount="194">
  <si>
    <t>Ardent Labs, Inc.</t>
  </si>
  <si>
    <t>FY2026 Budget vs Actuals, September 2026 close</t>
  </si>
  <si>
    <t>Prepared by</t>
  </si>
  <si>
    <t>FP&amp;A (Maya Chen)</t>
  </si>
  <si>
    <t>Version</t>
  </si>
  <si>
    <t>v9, 2026-10-06</t>
  </si>
  <si>
    <t>Source</t>
  </si>
  <si>
    <t>GL export 2026-10-03 (Jan to Sep)</t>
  </si>
  <si>
    <t>Currency</t>
  </si>
  <si>
    <t>USD; EU entity converted at Assumptions!FX_EUR_USD</t>
  </si>
  <si>
    <t>Status</t>
  </si>
  <si>
    <t>Draft for CFO review</t>
  </si>
  <si>
    <t>Reviewer</t>
  </si>
  <si>
    <t>Grace Park (CFO)</t>
  </si>
  <si>
    <t>Change log</t>
  </si>
  <si>
    <t>v9 2026-10-06: September actuals appended to Actuals tab (rows added at the bottom).</t>
  </si>
  <si>
    <t>v8 2026-09-08: Q4 budget reforecast loaded to Budget tab as version 'FY26 RF2'.</t>
  </si>
  <si>
    <t>v7 2026-08-05: Dept Variance tab added at CFO request; commentary moved to its own tab.</t>
  </si>
  <si>
    <t>v6 2026-07-14: Benefits load changed from 20% to 22% (Treasury memo). Headcount model copied the value.</t>
  </si>
  <si>
    <t>Assumption</t>
  </si>
  <si>
    <t>Value</t>
  </si>
  <si>
    <t>Unit</t>
  </si>
  <si>
    <t>Owner</t>
  </si>
  <si>
    <t>Note</t>
  </si>
  <si>
    <t>FX EUR to USD (budget rate)</t>
  </si>
  <si>
    <t>rate</t>
  </si>
  <si>
    <t>Treasury</t>
  </si>
  <si>
    <t>Manual input; updated quarterly. Actual monthly rates live in the Treasury FX file.</t>
  </si>
  <si>
    <t>Benefits load</t>
  </si>
  <si>
    <t>% of salaries</t>
  </si>
  <si>
    <t>People Ops</t>
  </si>
  <si>
    <t>Changed from 20% on 2026-07-14 (Treasury memo). Headcount Plan copies this value.</t>
  </si>
  <si>
    <t>Bonus accrual</t>
  </si>
  <si>
    <t>FP&amp;A</t>
  </si>
  <si>
    <t>Company plan at target.</t>
  </si>
  <si>
    <t>Commission rate</t>
  </si>
  <si>
    <t>% of new ARR</t>
  </si>
  <si>
    <t>Sales Ops</t>
  </si>
  <si>
    <t>Blended; plan document v3.</t>
  </si>
  <si>
    <t>Statutory tax rate</t>
  </si>
  <si>
    <t>Tax</t>
  </si>
  <si>
    <t>US federal only; state blended rate in the provision model.</t>
  </si>
  <si>
    <t>Planned monthly attrition</t>
  </si>
  <si>
    <t>% of HC</t>
  </si>
  <si>
    <t>Used by Headcount Plan.</t>
  </si>
  <si>
    <t>Hosting cost per 1k API calls</t>
  </si>
  <si>
    <t>USD</t>
  </si>
  <si>
    <t>R&amp;D</t>
  </si>
  <si>
    <t>Vendor contract FY26.</t>
  </si>
  <si>
    <t>Account</t>
  </si>
  <si>
    <t>Account name</t>
  </si>
  <si>
    <t>Category</t>
  </si>
  <si>
    <t>Subcategory</t>
  </si>
  <si>
    <t>P&amp;L order</t>
  </si>
  <si>
    <t>4000</t>
  </si>
  <si>
    <t>Subscription revenue</t>
  </si>
  <si>
    <t>Revenue</t>
  </si>
  <si>
    <t>Recurring</t>
  </si>
  <si>
    <t>4010</t>
  </si>
  <si>
    <t>Professional services revenue</t>
  </si>
  <si>
    <t>Non-recurring</t>
  </si>
  <si>
    <t>5000</t>
  </si>
  <si>
    <t>Hosting &amp; infrastructure</t>
  </si>
  <si>
    <t>COGS</t>
  </si>
  <si>
    <t>Cost of revenue</t>
  </si>
  <si>
    <t>5020</t>
  </si>
  <si>
    <t>Services delivery</t>
  </si>
  <si>
    <t>6000</t>
  </si>
  <si>
    <t>Salaries &amp; wages</t>
  </si>
  <si>
    <t>Opex</t>
  </si>
  <si>
    <t>People</t>
  </si>
  <si>
    <t>6010</t>
  </si>
  <si>
    <t>Benefits</t>
  </si>
  <si>
    <t>6020</t>
  </si>
  <si>
    <t>Commissions</t>
  </si>
  <si>
    <t>6030</t>
  </si>
  <si>
    <t>6100</t>
  </si>
  <si>
    <t>Software &amp; tools</t>
  </si>
  <si>
    <t>Non-people</t>
  </si>
  <si>
    <t>6200</t>
  </si>
  <si>
    <t>Travel &amp; entertainment</t>
  </si>
  <si>
    <t>6300</t>
  </si>
  <si>
    <t>Marketing programs</t>
  </si>
  <si>
    <t>6400</t>
  </si>
  <si>
    <t>Rent &amp; facilities</t>
  </si>
  <si>
    <t>6500</t>
  </si>
  <si>
    <t>Professional fees</t>
  </si>
  <si>
    <t>6600</t>
  </si>
  <si>
    <t>Recruiting</t>
  </si>
  <si>
    <t>6700</t>
  </si>
  <si>
    <t>Contractors</t>
  </si>
  <si>
    <t>6900</t>
  </si>
  <si>
    <t>Other opex</t>
  </si>
  <si>
    <t>Dept code</t>
  </si>
  <si>
    <t>Department</t>
  </si>
  <si>
    <t>Cost center</t>
  </si>
  <si>
    <t>VP</t>
  </si>
  <si>
    <t>SAL</t>
  </si>
  <si>
    <t>Sales</t>
  </si>
  <si>
    <t>CC-100</t>
  </si>
  <si>
    <t>Priya Natarajan</t>
  </si>
  <si>
    <t>Dan Okafor (CRO)</t>
  </si>
  <si>
    <t>MKT</t>
  </si>
  <si>
    <t>Marketing</t>
  </si>
  <si>
    <t>CC-200</t>
  </si>
  <si>
    <t>Luis Ortega</t>
  </si>
  <si>
    <t>CS</t>
  </si>
  <si>
    <t>Customer Success</t>
  </si>
  <si>
    <t>CC-300</t>
  </si>
  <si>
    <t>Hannah Weiss</t>
  </si>
  <si>
    <t>RND</t>
  </si>
  <si>
    <t>CC-400</t>
  </si>
  <si>
    <t>Wei Zhang</t>
  </si>
  <si>
    <t>Sofia Almeida (CTO)</t>
  </si>
  <si>
    <t>PRD</t>
  </si>
  <si>
    <t>Product</t>
  </si>
  <si>
    <t>CC-450</t>
  </si>
  <si>
    <t>Aisha Bello</t>
  </si>
  <si>
    <t>GA</t>
  </si>
  <si>
    <t>G&amp;A</t>
  </si>
  <si>
    <t>CC-500</t>
  </si>
  <si>
    <t>Tom Hadley</t>
  </si>
  <si>
    <t>REV</t>
  </si>
  <si>
    <t>Revenue (no department)</t>
  </si>
  <si>
    <t>n/a</t>
  </si>
  <si>
    <t>Revenue accounting</t>
  </si>
  <si>
    <t>Period</t>
  </si>
  <si>
    <t>Entity</t>
  </si>
  <si>
    <t>Amount</t>
  </si>
  <si>
    <t>US</t>
  </si>
  <si>
    <t>Core</t>
  </si>
  <si>
    <t>GL export 2026-10-03</t>
  </si>
  <si>
    <t>Analytics</t>
  </si>
  <si>
    <t>Services</t>
  </si>
  <si>
    <t>EU</t>
  </si>
  <si>
    <t>EUR</t>
  </si>
  <si>
    <t>Amount (USD)</t>
  </si>
  <si>
    <t>FY26 Board</t>
  </si>
  <si>
    <t>FY26 RF2</t>
  </si>
  <si>
    <t>Ardent Labs, Inc.  FY2026 Budget vs Actuals (USD)</t>
  </si>
  <si>
    <t>September 2026 close. EU entity converted at FX_EUR_USD. Prepared by FP&amp;A.</t>
  </si>
  <si>
    <t>period key (hidden)</t>
  </si>
  <si>
    <t>Jul-26 Actual</t>
  </si>
  <si>
    <t>Jul-26 Budget</t>
  </si>
  <si>
    <t>Aug-26 Actual</t>
  </si>
  <si>
    <t>Aug-26 Budget</t>
  </si>
  <si>
    <t>Sep-26 Actual</t>
  </si>
  <si>
    <t>Sep-26 Budget</t>
  </si>
  <si>
    <t>YTD Actual</t>
  </si>
  <si>
    <t>YTD Budget</t>
  </si>
  <si>
    <t>YTD Variance</t>
  </si>
  <si>
    <t>YTD Var %</t>
  </si>
  <si>
    <t>Total Revenue</t>
  </si>
  <si>
    <t>Total COGS</t>
  </si>
  <si>
    <t>Gross profit</t>
  </si>
  <si>
    <t>Gross margin %</t>
  </si>
  <si>
    <t>Total Opex</t>
  </si>
  <si>
    <t>EBITDA</t>
  </si>
  <si>
    <t>EBITDA margin %</t>
  </si>
  <si>
    <t>Headcount snapshot (pasted from Headcount Plan, HC Summary, 2026-10-02)</t>
  </si>
  <si>
    <t>Sep-26 HC</t>
  </si>
  <si>
    <t>Budget HC</t>
  </si>
  <si>
    <t>Variance</t>
  </si>
  <si>
    <t>Total</t>
  </si>
  <si>
    <t>Notes</t>
  </si>
  <si>
    <t>1. Variance = Actual - Budget. For expense lines a negative variance is favourable.</t>
  </si>
  <si>
    <t>2. EU entity amounts are converted at the budget rate (Assumptions). Treasury reports actual-rate figures separately.</t>
  </si>
  <si>
    <t>3. Q4 budget columns use reforecast RF2 (Budget tab, Version column).</t>
  </si>
  <si>
    <t>4. SUMIFS ranges on this tab were last extended in v5 (June). Check the range end when actuals rows are appended.</t>
  </si>
  <si>
    <t>Var %</t>
  </si>
  <si>
    <t>Flag</t>
  </si>
  <si>
    <t>Commentary</t>
  </si>
  <si>
    <t>Commissions above plan on 6% ARR over-attainment; T&amp;E over by $62K for the EMEA field kickoff.</t>
  </si>
  <si>
    <t>Q2 programs over budget by about $410K: Series B launch events pulled forward from Q3, approved by CMO 2026-05-12. Expect Q3 and Q4 under budget.</t>
  </si>
  <si>
    <t>On plan. Services delivery cost (5020) tracked in R&amp;D hosting review, not here.</t>
  </si>
  <si>
    <t>Under budget on salaries, benefits and bonus from July: six requisitions slipped to Q4 (see Headcount Plan, Hiring Plan tab, status 'Slipped to Q4'). Hosting (5000) tracks usage, on plan.</t>
  </si>
  <si>
    <t>On plan.</t>
  </si>
  <si>
    <t>Professional fees over by $48K: audit readiness project (Deloitte SOW 2026-03).</t>
  </si>
  <si>
    <t>Author</t>
  </si>
  <si>
    <t>Maya Chen</t>
  </si>
  <si>
    <t>September close: revenue 3% over plan on Analytics upsell; EBITDA margin 2 points above plan mostly from R&amp;D hiring slip, which is timing, not savings.</t>
  </si>
  <si>
    <t>Six reqs (REQ-0412 to REQ-0417) slipped to Q4; offers out for two. Salary underspend will reverse in Q1 FY27 when the cohort starts.</t>
  </si>
  <si>
    <t>Q3 programs 18% under budget to offset the Q2 launch pull-forward. Full-year marketing programs expected on plan.</t>
  </si>
  <si>
    <t>Benefits load changed to 22% in July. Headcount Plan was updated by copying the value; it is not linked. Q4 rows there use 25% per People Ops guidance, which has not been approved by Finance.</t>
  </si>
  <si>
    <t>Audit readiness SOW runs through November. $48K over plan YTD, expected $90K over by year end.</t>
  </si>
  <si>
    <t>EMEA field kickoff in Lisbon drove T&amp;E over plan. Commissions follow bookings; over-attainment is good news.</t>
  </si>
  <si>
    <t>Board KPI pack reports gross margin on the investor definition (includes Customer Success cost). BvA gross margin excludes it. Reconcile both before the October board meeting.</t>
  </si>
  <si>
    <t>Q4 reforecast RF2 loaded to the Budget tab. Board version kept for Jan to Sep. Versions are distinguished only by the Version column.</t>
  </si>
  <si>
    <t>Services delivery cost moved under COGS 5020 in June (was Opex 6700 for the CS team). Prior months restated in the GL, not in older BvA versions.</t>
  </si>
  <si>
    <t>Series B launch events pulled into May and June. CMO approval 2026-05-12 attached to the spend request.</t>
  </si>
  <si>
    <t>Revenue in this file is GAAP recognised revenue from the GL. The Board KPI pack shows ARR divided by 12 as run-rate revenue. They will never tie; do not try to reconcile them to the dollar.</t>
  </si>
  <si>
    <t>FX: Treasury asked FP&amp;A to keep the budget rate (1.08) for variance reporting. Actual-rate P&amp;L is in the Treasury monthly file.</t>
  </si>
  <si>
    <t>Hosting cost per 1k API calls renegotiated to $0.42 (from $0.47) effective March.</t>
  </si>
  <si>
    <t>FY26 budget approved by the board on 2025-12-16. This file is the single source for monthly budget vs actuals.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</si>
</sst>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yyyy\-mm\-dd"/>
    <numFmt numFmtId="167" formatCode="#,##0;\(#,##0\)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0" fontId="3" fillId="0" borderId="0" xfId="0" applyFont="1"/>
    <xf numFmtId="166" fontId="3" fillId="0" borderId="0" xfId="0" applyNumberFormat="1" applyFont="1"/>
    <xf numFmtId="165" fontId="0" fillId="0" borderId="0" xfId="0" applyNumberFormat="1"/>
    <xf numFmtId="167" fontId="2" fillId="4" borderId="0" xfId="0" applyNumberFormat="1" applyFont="1" applyFill="1"/>
    <xf numFmtId="165" fontId="2" fillId="4" borderId="0" xfId="0" applyNumberFormat="1" applyFont="1" applyFill="1"/>
    <xf numFmtId="165" fontId="2" fillId="0" borderId="0" xfId="0" applyNumberFormat="1" applyFont="1"/>
    <xf numFmtId="0" fontId="2" fillId="4" borderId="0" xfId="0" applyFont="1" applyFill="1"/>
    <xf numFmtId="17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16" customWidth="1"/>
    <col min="2" max="2" width="70" customWidth="1"/>
  </cols>
  <sheetData>
    <row r="1" spans="1:6" ht="19" x14ac:dyDescent="0.25">
      <c r="A1" s="15" t="s">
        <v>0</v>
      </c>
      <c r="B1" s="16"/>
      <c r="C1" s="16"/>
      <c r="D1" s="16"/>
      <c r="E1" s="16"/>
      <c r="F1" s="16"/>
    </row>
    <row r="2" spans="1:6" x14ac:dyDescent="0.2">
      <c r="A2" s="1" t="s">
        <v>1</v>
      </c>
    </row>
    <row r="4" spans="1:6" x14ac:dyDescent="0.2">
      <c r="A4" s="1" t="s">
        <v>2</v>
      </c>
      <c r="B4" t="s">
        <v>3</v>
      </c>
    </row>
    <row r="5" spans="1:6" x14ac:dyDescent="0.2">
      <c r="A5" s="1" t="s">
        <v>4</v>
      </c>
      <c r="B5" t="s">
        <v>5</v>
      </c>
    </row>
    <row r="6" spans="1:6" x14ac:dyDescent="0.2">
      <c r="A6" s="1" t="s">
        <v>6</v>
      </c>
      <c r="B6" t="s">
        <v>7</v>
      </c>
    </row>
    <row r="7" spans="1:6" x14ac:dyDescent="0.2">
      <c r="A7" s="1" t="s">
        <v>8</v>
      </c>
      <c r="B7" t="s">
        <v>9</v>
      </c>
    </row>
    <row r="8" spans="1:6" x14ac:dyDescent="0.2">
      <c r="A8" s="1" t="s">
        <v>10</v>
      </c>
      <c r="B8" t="s">
        <v>11</v>
      </c>
    </row>
    <row r="9" spans="1:6" x14ac:dyDescent="0.2">
      <c r="A9" s="1" t="s">
        <v>12</v>
      </c>
      <c r="B9" t="s">
        <v>13</v>
      </c>
    </row>
    <row r="11" spans="1:6" x14ac:dyDescent="0.2">
      <c r="A11" s="1" t="s">
        <v>14</v>
      </c>
    </row>
    <row r="12" spans="1:6" x14ac:dyDescent="0.2">
      <c r="A12" t="s">
        <v>15</v>
      </c>
    </row>
    <row r="13" spans="1:6" x14ac:dyDescent="0.2">
      <c r="A13" t="s">
        <v>16</v>
      </c>
    </row>
    <row r="14" spans="1:6" x14ac:dyDescent="0.2">
      <c r="A14" t="s">
        <v>17</v>
      </c>
    </row>
    <row r="15" spans="1:6" x14ac:dyDescent="0.2">
      <c r="A15" t="s">
        <v>18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8.83203125" defaultRowHeight="15" x14ac:dyDescent="0.2"/>
  <cols>
    <col min="1" max="1" width="32" customWidth="1"/>
    <col min="2" max="2" width="10" customWidth="1"/>
    <col min="3" max="3" width="14" customWidth="1"/>
    <col min="4" max="4" width="12" customWidth="1"/>
    <col min="5" max="5" width="80" customWidth="1"/>
  </cols>
  <sheetData>
    <row r="1" spans="1:5" x14ac:dyDescent="0.2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2">
      <c r="A2" t="s">
        <v>24</v>
      </c>
      <c r="B2" s="3">
        <v>1.08</v>
      </c>
      <c r="C2" t="s">
        <v>25</v>
      </c>
      <c r="D2" t="s">
        <v>26</v>
      </c>
      <c r="E2" t="s">
        <v>27</v>
      </c>
    </row>
    <row r="3" spans="1:5" x14ac:dyDescent="0.2">
      <c r="A3" t="s">
        <v>28</v>
      </c>
      <c r="B3" s="4">
        <v>0.22</v>
      </c>
      <c r="C3" t="s">
        <v>29</v>
      </c>
      <c r="D3" t="s">
        <v>30</v>
      </c>
      <c r="E3" t="s">
        <v>31</v>
      </c>
    </row>
    <row r="4" spans="1:5" x14ac:dyDescent="0.2">
      <c r="A4" t="s">
        <v>32</v>
      </c>
      <c r="B4" s="4">
        <v>0.1</v>
      </c>
      <c r="C4" t="s">
        <v>29</v>
      </c>
      <c r="D4" t="s">
        <v>33</v>
      </c>
      <c r="E4" t="s">
        <v>34</v>
      </c>
    </row>
    <row r="5" spans="1:5" x14ac:dyDescent="0.2">
      <c r="A5" t="s">
        <v>35</v>
      </c>
      <c r="B5" s="4">
        <v>0.08</v>
      </c>
      <c r="C5" t="s">
        <v>36</v>
      </c>
      <c r="D5" t="s">
        <v>37</v>
      </c>
      <c r="E5" t="s">
        <v>38</v>
      </c>
    </row>
    <row r="6" spans="1:5" x14ac:dyDescent="0.2">
      <c r="A6" t="s">
        <v>39</v>
      </c>
      <c r="B6" s="3">
        <v>0.21</v>
      </c>
      <c r="C6" t="s">
        <v>25</v>
      </c>
      <c r="D6" t="s">
        <v>40</v>
      </c>
      <c r="E6" t="s">
        <v>41</v>
      </c>
    </row>
    <row r="7" spans="1:5" x14ac:dyDescent="0.2">
      <c r="A7" t="s">
        <v>42</v>
      </c>
      <c r="B7" s="4">
        <v>1.2E-2</v>
      </c>
      <c r="C7" t="s">
        <v>43</v>
      </c>
      <c r="D7" t="s">
        <v>30</v>
      </c>
      <c r="E7" t="s">
        <v>44</v>
      </c>
    </row>
    <row r="8" spans="1:5" x14ac:dyDescent="0.2">
      <c r="A8" t="s">
        <v>45</v>
      </c>
      <c r="B8" s="3">
        <v>0.42</v>
      </c>
      <c r="C8" t="s">
        <v>46</v>
      </c>
      <c r="D8" t="s">
        <v>47</v>
      </c>
      <c r="E8" t="s">
        <v>48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8.83203125" defaultRowHeight="15" x14ac:dyDescent="0.2"/>
  <cols>
    <col min="1" max="1" width="10" customWidth="1"/>
    <col min="2" max="2" width="32" customWidth="1"/>
    <col min="3" max="3" width="10" customWidth="1"/>
    <col min="4" max="4" width="16" customWidth="1"/>
    <col min="5" max="5" width="10" customWidth="1"/>
  </cols>
  <sheetData>
    <row r="1" spans="1:5" x14ac:dyDescent="0.2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x14ac:dyDescent="0.2">
      <c r="A2" t="s">
        <v>54</v>
      </c>
      <c r="B2" t="s">
        <v>55</v>
      </c>
      <c r="C2" t="s">
        <v>56</v>
      </c>
      <c r="D2" t="s">
        <v>57</v>
      </c>
      <c r="E2">
        <v>1</v>
      </c>
    </row>
    <row r="3" spans="1:5" x14ac:dyDescent="0.2">
      <c r="A3" t="s">
        <v>58</v>
      </c>
      <c r="B3" t="s">
        <v>59</v>
      </c>
      <c r="C3" t="s">
        <v>56</v>
      </c>
      <c r="D3" t="s">
        <v>60</v>
      </c>
      <c r="E3">
        <v>2</v>
      </c>
    </row>
    <row r="4" spans="1:5" x14ac:dyDescent="0.2">
      <c r="A4" t="s">
        <v>61</v>
      </c>
      <c r="B4" t="s">
        <v>62</v>
      </c>
      <c r="C4" t="s">
        <v>63</v>
      </c>
      <c r="D4" t="s">
        <v>64</v>
      </c>
      <c r="E4">
        <v>3</v>
      </c>
    </row>
    <row r="5" spans="1:5" x14ac:dyDescent="0.2">
      <c r="A5" t="s">
        <v>65</v>
      </c>
      <c r="B5" t="s">
        <v>66</v>
      </c>
      <c r="C5" t="s">
        <v>63</v>
      </c>
      <c r="D5" t="s">
        <v>64</v>
      </c>
      <c r="E5">
        <v>4</v>
      </c>
    </row>
    <row r="6" spans="1:5" x14ac:dyDescent="0.2">
      <c r="A6" t="s">
        <v>67</v>
      </c>
      <c r="B6" t="s">
        <v>68</v>
      </c>
      <c r="C6" t="s">
        <v>69</v>
      </c>
      <c r="D6" t="s">
        <v>70</v>
      </c>
      <c r="E6">
        <v>5</v>
      </c>
    </row>
    <row r="7" spans="1:5" x14ac:dyDescent="0.2">
      <c r="A7" t="s">
        <v>71</v>
      </c>
      <c r="B7" t="s">
        <v>72</v>
      </c>
      <c r="C7" t="s">
        <v>69</v>
      </c>
      <c r="D7" t="s">
        <v>70</v>
      </c>
      <c r="E7">
        <v>6</v>
      </c>
    </row>
    <row r="8" spans="1:5" x14ac:dyDescent="0.2">
      <c r="A8" t="s">
        <v>73</v>
      </c>
      <c r="B8" t="s">
        <v>74</v>
      </c>
      <c r="C8" t="s">
        <v>69</v>
      </c>
      <c r="D8" t="s">
        <v>70</v>
      </c>
      <c r="E8">
        <v>7</v>
      </c>
    </row>
    <row r="9" spans="1:5" x14ac:dyDescent="0.2">
      <c r="A9" t="s">
        <v>75</v>
      </c>
      <c r="B9" t="s">
        <v>32</v>
      </c>
      <c r="C9" t="s">
        <v>69</v>
      </c>
      <c r="D9" t="s">
        <v>70</v>
      </c>
      <c r="E9">
        <v>8</v>
      </c>
    </row>
    <row r="10" spans="1:5" x14ac:dyDescent="0.2">
      <c r="A10" t="s">
        <v>76</v>
      </c>
      <c r="B10" t="s">
        <v>77</v>
      </c>
      <c r="C10" t="s">
        <v>69</v>
      </c>
      <c r="D10" t="s">
        <v>78</v>
      </c>
      <c r="E10">
        <v>9</v>
      </c>
    </row>
    <row r="11" spans="1:5" x14ac:dyDescent="0.2">
      <c r="A11" t="s">
        <v>79</v>
      </c>
      <c r="B11" t="s">
        <v>80</v>
      </c>
      <c r="C11" t="s">
        <v>69</v>
      </c>
      <c r="D11" t="s">
        <v>78</v>
      </c>
      <c r="E11">
        <v>10</v>
      </c>
    </row>
    <row r="12" spans="1:5" x14ac:dyDescent="0.2">
      <c r="A12" t="s">
        <v>81</v>
      </c>
      <c r="B12" t="s">
        <v>82</v>
      </c>
      <c r="C12" t="s">
        <v>69</v>
      </c>
      <c r="D12" t="s">
        <v>78</v>
      </c>
      <c r="E12">
        <v>11</v>
      </c>
    </row>
    <row r="13" spans="1:5" x14ac:dyDescent="0.2">
      <c r="A13" t="s">
        <v>83</v>
      </c>
      <c r="B13" t="s">
        <v>84</v>
      </c>
      <c r="C13" t="s">
        <v>69</v>
      </c>
      <c r="D13" t="s">
        <v>78</v>
      </c>
      <c r="E13">
        <v>12</v>
      </c>
    </row>
    <row r="14" spans="1:5" x14ac:dyDescent="0.2">
      <c r="A14" t="s">
        <v>85</v>
      </c>
      <c r="B14" t="s">
        <v>86</v>
      </c>
      <c r="C14" t="s">
        <v>69</v>
      </c>
      <c r="D14" t="s">
        <v>78</v>
      </c>
      <c r="E14">
        <v>13</v>
      </c>
    </row>
    <row r="15" spans="1:5" x14ac:dyDescent="0.2">
      <c r="A15" t="s">
        <v>87</v>
      </c>
      <c r="B15" t="s">
        <v>88</v>
      </c>
      <c r="C15" t="s">
        <v>69</v>
      </c>
      <c r="D15" t="s">
        <v>78</v>
      </c>
      <c r="E15">
        <v>14</v>
      </c>
    </row>
    <row r="16" spans="1:5" x14ac:dyDescent="0.2">
      <c r="A16" t="s">
        <v>89</v>
      </c>
      <c r="B16" t="s">
        <v>90</v>
      </c>
      <c r="C16" t="s">
        <v>69</v>
      </c>
      <c r="D16" t="s">
        <v>78</v>
      </c>
      <c r="E16">
        <v>15</v>
      </c>
    </row>
    <row r="17" spans="1:5" x14ac:dyDescent="0.2">
      <c r="A17" t="s">
        <v>91</v>
      </c>
      <c r="B17" t="s">
        <v>92</v>
      </c>
      <c r="C17" t="s">
        <v>69</v>
      </c>
      <c r="D17" t="s">
        <v>78</v>
      </c>
      <c r="E17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baseColWidth="10" defaultColWidth="8.83203125" defaultRowHeight="15" x14ac:dyDescent="0.2"/>
  <cols>
    <col min="1" max="1" width="10" customWidth="1"/>
    <col min="2" max="2" width="26" customWidth="1"/>
    <col min="3" max="3" width="12" customWidth="1"/>
    <col min="4" max="4" width="18" customWidth="1"/>
    <col min="5" max="5" width="22" customWidth="1"/>
  </cols>
  <sheetData>
    <row r="1" spans="1:5" x14ac:dyDescent="0.2">
      <c r="A1" s="2" t="s">
        <v>93</v>
      </c>
      <c r="B1" s="2" t="s">
        <v>94</v>
      </c>
      <c r="C1" s="2" t="s">
        <v>95</v>
      </c>
      <c r="D1" s="2" t="s">
        <v>22</v>
      </c>
      <c r="E1" s="2" t="s">
        <v>96</v>
      </c>
    </row>
    <row r="2" spans="1:5" x14ac:dyDescent="0.2">
      <c r="A2" t="s">
        <v>97</v>
      </c>
      <c r="B2" t="s">
        <v>98</v>
      </c>
      <c r="C2" t="s">
        <v>99</v>
      </c>
      <c r="D2" t="s">
        <v>100</v>
      </c>
      <c r="E2" t="s">
        <v>101</v>
      </c>
    </row>
    <row r="3" spans="1:5" x14ac:dyDescent="0.2">
      <c r="A3" t="s">
        <v>102</v>
      </c>
      <c r="B3" t="s">
        <v>103</v>
      </c>
      <c r="C3" t="s">
        <v>104</v>
      </c>
      <c r="D3" t="s">
        <v>105</v>
      </c>
      <c r="E3" t="s">
        <v>101</v>
      </c>
    </row>
    <row r="4" spans="1:5" x14ac:dyDescent="0.2">
      <c r="A4" t="s">
        <v>106</v>
      </c>
      <c r="B4" t="s">
        <v>107</v>
      </c>
      <c r="C4" t="s">
        <v>108</v>
      </c>
      <c r="D4" t="s">
        <v>109</v>
      </c>
      <c r="E4" t="s">
        <v>101</v>
      </c>
    </row>
    <row r="5" spans="1:5" x14ac:dyDescent="0.2">
      <c r="A5" t="s">
        <v>110</v>
      </c>
      <c r="B5" t="s">
        <v>47</v>
      </c>
      <c r="C5" t="s">
        <v>111</v>
      </c>
      <c r="D5" t="s">
        <v>112</v>
      </c>
      <c r="E5" t="s">
        <v>113</v>
      </c>
    </row>
    <row r="6" spans="1:5" x14ac:dyDescent="0.2">
      <c r="A6" t="s">
        <v>114</v>
      </c>
      <c r="B6" t="s">
        <v>115</v>
      </c>
      <c r="C6" t="s">
        <v>116</v>
      </c>
      <c r="D6" t="s">
        <v>117</v>
      </c>
      <c r="E6" t="s">
        <v>113</v>
      </c>
    </row>
    <row r="7" spans="1:5" x14ac:dyDescent="0.2">
      <c r="A7" t="s">
        <v>118</v>
      </c>
      <c r="B7" t="s">
        <v>119</v>
      </c>
      <c r="C7" t="s">
        <v>120</v>
      </c>
      <c r="D7" t="s">
        <v>121</v>
      </c>
      <c r="E7" t="s">
        <v>13</v>
      </c>
    </row>
    <row r="8" spans="1:5" x14ac:dyDescent="0.2">
      <c r="A8" t="s">
        <v>122</v>
      </c>
      <c r="B8" t="s">
        <v>123</v>
      </c>
      <c r="C8" t="s">
        <v>124</v>
      </c>
      <c r="D8" t="s">
        <v>125</v>
      </c>
      <c r="E8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2" customWidth="1"/>
    <col min="4" max="4" width="10" customWidth="1"/>
    <col min="5" max="5" width="11" customWidth="1"/>
    <col min="6" max="6" width="14" customWidth="1"/>
    <col min="7" max="7" width="10" customWidth="1"/>
    <col min="8" max="8" width="22" customWidth="1"/>
  </cols>
  <sheetData>
    <row r="1" spans="1:8" x14ac:dyDescent="0.2">
      <c r="A1" s="2" t="s">
        <v>126</v>
      </c>
      <c r="B1" s="2" t="s">
        <v>127</v>
      </c>
      <c r="C1" s="2" t="s">
        <v>94</v>
      </c>
      <c r="D1" s="2" t="s">
        <v>49</v>
      </c>
      <c r="E1" s="2" t="s">
        <v>115</v>
      </c>
      <c r="F1" s="2" t="s">
        <v>128</v>
      </c>
      <c r="G1" s="2" t="s">
        <v>8</v>
      </c>
      <c r="H1" s="2" t="s">
        <v>6</v>
      </c>
    </row>
    <row r="2" spans="1:8" x14ac:dyDescent="0.2">
      <c r="A2" s="5">
        <v>46023</v>
      </c>
      <c r="B2" t="s">
        <v>129</v>
      </c>
      <c r="C2" t="s">
        <v>122</v>
      </c>
      <c r="D2" t="s">
        <v>54</v>
      </c>
      <c r="E2" t="s">
        <v>130</v>
      </c>
      <c r="F2" s="6">
        <v>1717950</v>
      </c>
      <c r="G2" t="s">
        <v>46</v>
      </c>
      <c r="H2" t="s">
        <v>131</v>
      </c>
    </row>
    <row r="3" spans="1:8" x14ac:dyDescent="0.2">
      <c r="A3" s="5">
        <v>46023</v>
      </c>
      <c r="B3" t="s">
        <v>129</v>
      </c>
      <c r="C3" t="s">
        <v>122</v>
      </c>
      <c r="D3" t="s">
        <v>54</v>
      </c>
      <c r="E3" t="s">
        <v>132</v>
      </c>
      <c r="F3" s="6">
        <v>960991</v>
      </c>
      <c r="G3" t="s">
        <v>46</v>
      </c>
      <c r="H3" t="s">
        <v>131</v>
      </c>
    </row>
    <row r="4" spans="1:8" x14ac:dyDescent="0.2">
      <c r="A4" s="5">
        <v>46023</v>
      </c>
      <c r="B4" t="s">
        <v>129</v>
      </c>
      <c r="C4" t="s">
        <v>122</v>
      </c>
      <c r="D4" t="s">
        <v>58</v>
      </c>
      <c r="E4" t="s">
        <v>133</v>
      </c>
      <c r="F4" s="6">
        <v>270942</v>
      </c>
      <c r="G4" t="s">
        <v>46</v>
      </c>
      <c r="H4" t="s">
        <v>131</v>
      </c>
    </row>
    <row r="5" spans="1:8" x14ac:dyDescent="0.2">
      <c r="A5" s="5">
        <v>46023</v>
      </c>
      <c r="B5" t="s">
        <v>129</v>
      </c>
      <c r="C5" t="s">
        <v>97</v>
      </c>
      <c r="D5" t="s">
        <v>67</v>
      </c>
      <c r="F5" s="6">
        <v>330349</v>
      </c>
      <c r="G5" t="s">
        <v>46</v>
      </c>
      <c r="H5" t="s">
        <v>131</v>
      </c>
    </row>
    <row r="6" spans="1:8" x14ac:dyDescent="0.2">
      <c r="A6" s="5">
        <v>46023</v>
      </c>
      <c r="B6" t="s">
        <v>129</v>
      </c>
      <c r="C6" t="s">
        <v>97</v>
      </c>
      <c r="D6" t="s">
        <v>71</v>
      </c>
      <c r="F6" s="6">
        <v>71756</v>
      </c>
      <c r="G6" t="s">
        <v>46</v>
      </c>
      <c r="H6" t="s">
        <v>131</v>
      </c>
    </row>
    <row r="7" spans="1:8" x14ac:dyDescent="0.2">
      <c r="A7" s="5">
        <v>46023</v>
      </c>
      <c r="B7" t="s">
        <v>129</v>
      </c>
      <c r="C7" t="s">
        <v>97</v>
      </c>
      <c r="D7" t="s">
        <v>73</v>
      </c>
      <c r="F7" s="6">
        <v>113281</v>
      </c>
      <c r="G7" t="s">
        <v>46</v>
      </c>
      <c r="H7" t="s">
        <v>131</v>
      </c>
    </row>
    <row r="8" spans="1:8" x14ac:dyDescent="0.2">
      <c r="A8" s="5">
        <v>46023</v>
      </c>
      <c r="B8" t="s">
        <v>129</v>
      </c>
      <c r="C8" t="s">
        <v>97</v>
      </c>
      <c r="D8" t="s">
        <v>75</v>
      </c>
      <c r="F8" s="6">
        <v>31574</v>
      </c>
      <c r="G8" t="s">
        <v>46</v>
      </c>
      <c r="H8" t="s">
        <v>131</v>
      </c>
    </row>
    <row r="9" spans="1:8" x14ac:dyDescent="0.2">
      <c r="A9" s="5">
        <v>46023</v>
      </c>
      <c r="B9" t="s">
        <v>129</v>
      </c>
      <c r="C9" t="s">
        <v>97</v>
      </c>
      <c r="D9" t="s">
        <v>76</v>
      </c>
      <c r="F9" s="6">
        <v>18506</v>
      </c>
      <c r="G9" t="s">
        <v>46</v>
      </c>
      <c r="H9" t="s">
        <v>131</v>
      </c>
    </row>
    <row r="10" spans="1:8" x14ac:dyDescent="0.2">
      <c r="A10" s="5">
        <v>46023</v>
      </c>
      <c r="B10" t="s">
        <v>129</v>
      </c>
      <c r="C10" t="s">
        <v>97</v>
      </c>
      <c r="D10" t="s">
        <v>79</v>
      </c>
      <c r="F10" s="6">
        <v>24431</v>
      </c>
      <c r="G10" t="s">
        <v>46</v>
      </c>
      <c r="H10" t="s">
        <v>131</v>
      </c>
    </row>
    <row r="11" spans="1:8" x14ac:dyDescent="0.2">
      <c r="A11" s="5">
        <v>46023</v>
      </c>
      <c r="B11" t="s">
        <v>129</v>
      </c>
      <c r="C11" t="s">
        <v>97</v>
      </c>
      <c r="D11" t="s">
        <v>87</v>
      </c>
      <c r="F11" s="6">
        <v>10305</v>
      </c>
      <c r="G11" t="s">
        <v>46</v>
      </c>
      <c r="H11" t="s">
        <v>131</v>
      </c>
    </row>
    <row r="12" spans="1:8" x14ac:dyDescent="0.2">
      <c r="A12" s="5">
        <v>46023</v>
      </c>
      <c r="B12" t="s">
        <v>129</v>
      </c>
      <c r="C12" t="s">
        <v>97</v>
      </c>
      <c r="D12" t="s">
        <v>91</v>
      </c>
      <c r="F12" s="6">
        <v>6577</v>
      </c>
      <c r="G12" t="s">
        <v>46</v>
      </c>
      <c r="H12" t="s">
        <v>131</v>
      </c>
    </row>
    <row r="13" spans="1:8" x14ac:dyDescent="0.2">
      <c r="A13" s="5">
        <v>46023</v>
      </c>
      <c r="B13" t="s">
        <v>129</v>
      </c>
      <c r="C13" t="s">
        <v>102</v>
      </c>
      <c r="D13" t="s">
        <v>67</v>
      </c>
      <c r="F13" s="6">
        <v>155878</v>
      </c>
      <c r="G13" t="s">
        <v>46</v>
      </c>
      <c r="H13" t="s">
        <v>131</v>
      </c>
    </row>
    <row r="14" spans="1:8" x14ac:dyDescent="0.2">
      <c r="A14" s="5">
        <v>46023</v>
      </c>
      <c r="B14" t="s">
        <v>129</v>
      </c>
      <c r="C14" t="s">
        <v>102</v>
      </c>
      <c r="D14" t="s">
        <v>71</v>
      </c>
      <c r="F14" s="6">
        <v>31075</v>
      </c>
      <c r="G14" t="s">
        <v>46</v>
      </c>
      <c r="H14" t="s">
        <v>131</v>
      </c>
    </row>
    <row r="15" spans="1:8" x14ac:dyDescent="0.2">
      <c r="A15" s="5">
        <v>46023</v>
      </c>
      <c r="B15" t="s">
        <v>129</v>
      </c>
      <c r="C15" t="s">
        <v>102</v>
      </c>
      <c r="D15" t="s">
        <v>75</v>
      </c>
      <c r="F15" s="6">
        <v>15143</v>
      </c>
      <c r="G15" t="s">
        <v>46</v>
      </c>
      <c r="H15" t="s">
        <v>131</v>
      </c>
    </row>
    <row r="16" spans="1:8" x14ac:dyDescent="0.2">
      <c r="A16" s="5">
        <v>46023</v>
      </c>
      <c r="B16" t="s">
        <v>129</v>
      </c>
      <c r="C16" t="s">
        <v>102</v>
      </c>
      <c r="D16" t="s">
        <v>76</v>
      </c>
      <c r="F16" s="6">
        <v>8985</v>
      </c>
      <c r="G16" t="s">
        <v>46</v>
      </c>
      <c r="H16" t="s">
        <v>131</v>
      </c>
    </row>
    <row r="17" spans="1:8" x14ac:dyDescent="0.2">
      <c r="A17" s="5">
        <v>46023</v>
      </c>
      <c r="B17" t="s">
        <v>129</v>
      </c>
      <c r="C17" t="s">
        <v>102</v>
      </c>
      <c r="D17" t="s">
        <v>79</v>
      </c>
      <c r="F17" s="6">
        <v>12315</v>
      </c>
      <c r="G17" t="s">
        <v>46</v>
      </c>
      <c r="H17" t="s">
        <v>131</v>
      </c>
    </row>
    <row r="18" spans="1:8" x14ac:dyDescent="0.2">
      <c r="A18" s="5">
        <v>46023</v>
      </c>
      <c r="B18" t="s">
        <v>129</v>
      </c>
      <c r="C18" t="s">
        <v>102</v>
      </c>
      <c r="D18" t="s">
        <v>81</v>
      </c>
      <c r="F18" s="6">
        <v>200315</v>
      </c>
      <c r="G18" t="s">
        <v>46</v>
      </c>
      <c r="H18" t="s">
        <v>131</v>
      </c>
    </row>
    <row r="19" spans="1:8" x14ac:dyDescent="0.2">
      <c r="A19" s="5">
        <v>46023</v>
      </c>
      <c r="B19" t="s">
        <v>129</v>
      </c>
      <c r="C19" t="s">
        <v>102</v>
      </c>
      <c r="D19" t="s">
        <v>87</v>
      </c>
      <c r="F19" s="6">
        <v>4667</v>
      </c>
      <c r="G19" t="s">
        <v>46</v>
      </c>
      <c r="H19" t="s">
        <v>131</v>
      </c>
    </row>
    <row r="20" spans="1:8" x14ac:dyDescent="0.2">
      <c r="A20" s="5">
        <v>46023</v>
      </c>
      <c r="B20" t="s">
        <v>129</v>
      </c>
      <c r="C20" t="s">
        <v>102</v>
      </c>
      <c r="D20" t="s">
        <v>91</v>
      </c>
      <c r="F20" s="6">
        <v>3118</v>
      </c>
      <c r="G20" t="s">
        <v>46</v>
      </c>
      <c r="H20" t="s">
        <v>131</v>
      </c>
    </row>
    <row r="21" spans="1:8" x14ac:dyDescent="0.2">
      <c r="A21" s="5">
        <v>46023</v>
      </c>
      <c r="B21" t="s">
        <v>129</v>
      </c>
      <c r="C21" t="s">
        <v>106</v>
      </c>
      <c r="D21" t="s">
        <v>65</v>
      </c>
      <c r="F21" s="6">
        <v>71610</v>
      </c>
      <c r="G21" t="s">
        <v>46</v>
      </c>
      <c r="H21" t="s">
        <v>131</v>
      </c>
    </row>
    <row r="22" spans="1:8" x14ac:dyDescent="0.2">
      <c r="A22" s="5">
        <v>46023</v>
      </c>
      <c r="B22" t="s">
        <v>129</v>
      </c>
      <c r="C22" t="s">
        <v>106</v>
      </c>
      <c r="D22" t="s">
        <v>67</v>
      </c>
      <c r="F22" s="6">
        <v>155549</v>
      </c>
      <c r="G22" t="s">
        <v>46</v>
      </c>
      <c r="H22" t="s">
        <v>131</v>
      </c>
    </row>
    <row r="23" spans="1:8" x14ac:dyDescent="0.2">
      <c r="A23" s="5">
        <v>46023</v>
      </c>
      <c r="B23" t="s">
        <v>129</v>
      </c>
      <c r="C23" t="s">
        <v>106</v>
      </c>
      <c r="D23" t="s">
        <v>71</v>
      </c>
      <c r="F23" s="6">
        <v>35554</v>
      </c>
      <c r="G23" t="s">
        <v>46</v>
      </c>
      <c r="H23" t="s">
        <v>131</v>
      </c>
    </row>
    <row r="24" spans="1:8" x14ac:dyDescent="0.2">
      <c r="A24" s="5">
        <v>46023</v>
      </c>
      <c r="B24" t="s">
        <v>129</v>
      </c>
      <c r="C24" t="s">
        <v>106</v>
      </c>
      <c r="D24" t="s">
        <v>75</v>
      </c>
      <c r="F24" s="6">
        <v>17960</v>
      </c>
      <c r="G24" t="s">
        <v>46</v>
      </c>
      <c r="H24" t="s">
        <v>131</v>
      </c>
    </row>
    <row r="25" spans="1:8" x14ac:dyDescent="0.2">
      <c r="A25" s="5">
        <v>46023</v>
      </c>
      <c r="B25" t="s">
        <v>129</v>
      </c>
      <c r="C25" t="s">
        <v>106</v>
      </c>
      <c r="D25" t="s">
        <v>76</v>
      </c>
      <c r="F25" s="6">
        <v>11253</v>
      </c>
      <c r="G25" t="s">
        <v>46</v>
      </c>
      <c r="H25" t="s">
        <v>131</v>
      </c>
    </row>
    <row r="26" spans="1:8" x14ac:dyDescent="0.2">
      <c r="A26" s="5">
        <v>46023</v>
      </c>
      <c r="B26" t="s">
        <v>129</v>
      </c>
      <c r="C26" t="s">
        <v>106</v>
      </c>
      <c r="D26" t="s">
        <v>79</v>
      </c>
      <c r="F26" s="6">
        <v>6938</v>
      </c>
      <c r="G26" t="s">
        <v>46</v>
      </c>
      <c r="H26" t="s">
        <v>131</v>
      </c>
    </row>
    <row r="27" spans="1:8" x14ac:dyDescent="0.2">
      <c r="A27" s="5">
        <v>46023</v>
      </c>
      <c r="B27" t="s">
        <v>129</v>
      </c>
      <c r="C27" t="s">
        <v>106</v>
      </c>
      <c r="D27" t="s">
        <v>87</v>
      </c>
      <c r="F27" s="6">
        <v>5031</v>
      </c>
      <c r="G27" t="s">
        <v>46</v>
      </c>
      <c r="H27" t="s">
        <v>131</v>
      </c>
    </row>
    <row r="28" spans="1:8" x14ac:dyDescent="0.2">
      <c r="A28" s="5">
        <v>46023</v>
      </c>
      <c r="B28" t="s">
        <v>129</v>
      </c>
      <c r="C28" t="s">
        <v>106</v>
      </c>
      <c r="D28" t="s">
        <v>91</v>
      </c>
      <c r="F28" s="6">
        <v>3564</v>
      </c>
      <c r="G28" t="s">
        <v>46</v>
      </c>
      <c r="H28" t="s">
        <v>131</v>
      </c>
    </row>
    <row r="29" spans="1:8" x14ac:dyDescent="0.2">
      <c r="A29" s="5">
        <v>46023</v>
      </c>
      <c r="B29" t="s">
        <v>129</v>
      </c>
      <c r="C29" t="s">
        <v>110</v>
      </c>
      <c r="D29" t="s">
        <v>61</v>
      </c>
      <c r="F29" s="6">
        <v>524422</v>
      </c>
      <c r="G29" t="s">
        <v>46</v>
      </c>
      <c r="H29" t="s">
        <v>131</v>
      </c>
    </row>
    <row r="30" spans="1:8" x14ac:dyDescent="0.2">
      <c r="A30" s="5">
        <v>46023</v>
      </c>
      <c r="B30" t="s">
        <v>129</v>
      </c>
      <c r="C30" t="s">
        <v>110</v>
      </c>
      <c r="D30" t="s">
        <v>67</v>
      </c>
      <c r="F30" s="6">
        <v>524385</v>
      </c>
      <c r="G30" t="s">
        <v>46</v>
      </c>
      <c r="H30" t="s">
        <v>131</v>
      </c>
    </row>
    <row r="31" spans="1:8" x14ac:dyDescent="0.2">
      <c r="A31" s="5">
        <v>46023</v>
      </c>
      <c r="B31" t="s">
        <v>129</v>
      </c>
      <c r="C31" t="s">
        <v>110</v>
      </c>
      <c r="D31" t="s">
        <v>71</v>
      </c>
      <c r="F31" s="6">
        <v>120589</v>
      </c>
      <c r="G31" t="s">
        <v>46</v>
      </c>
      <c r="H31" t="s">
        <v>131</v>
      </c>
    </row>
    <row r="32" spans="1:8" x14ac:dyDescent="0.2">
      <c r="A32" s="5">
        <v>46023</v>
      </c>
      <c r="B32" t="s">
        <v>129</v>
      </c>
      <c r="C32" t="s">
        <v>110</v>
      </c>
      <c r="D32" t="s">
        <v>75</v>
      </c>
      <c r="F32" s="6">
        <v>52136</v>
      </c>
      <c r="G32" t="s">
        <v>46</v>
      </c>
      <c r="H32" t="s">
        <v>131</v>
      </c>
    </row>
    <row r="33" spans="1:8" x14ac:dyDescent="0.2">
      <c r="A33" s="5">
        <v>46023</v>
      </c>
      <c r="B33" t="s">
        <v>129</v>
      </c>
      <c r="C33" t="s">
        <v>110</v>
      </c>
      <c r="D33" t="s">
        <v>76</v>
      </c>
      <c r="F33" s="6">
        <v>29071</v>
      </c>
      <c r="G33" t="s">
        <v>46</v>
      </c>
      <c r="H33" t="s">
        <v>131</v>
      </c>
    </row>
    <row r="34" spans="1:8" x14ac:dyDescent="0.2">
      <c r="A34" s="5">
        <v>46023</v>
      </c>
      <c r="B34" t="s">
        <v>129</v>
      </c>
      <c r="C34" t="s">
        <v>110</v>
      </c>
      <c r="D34" t="s">
        <v>79</v>
      </c>
      <c r="F34" s="6">
        <v>20226</v>
      </c>
      <c r="G34" t="s">
        <v>46</v>
      </c>
      <c r="H34" t="s">
        <v>131</v>
      </c>
    </row>
    <row r="35" spans="1:8" x14ac:dyDescent="0.2">
      <c r="A35" s="5">
        <v>46023</v>
      </c>
      <c r="B35" t="s">
        <v>129</v>
      </c>
      <c r="C35" t="s">
        <v>110</v>
      </c>
      <c r="D35" t="s">
        <v>87</v>
      </c>
      <c r="F35" s="6">
        <v>15989</v>
      </c>
      <c r="G35" t="s">
        <v>46</v>
      </c>
      <c r="H35" t="s">
        <v>131</v>
      </c>
    </row>
    <row r="36" spans="1:8" x14ac:dyDescent="0.2">
      <c r="A36" s="5">
        <v>46023</v>
      </c>
      <c r="B36" t="s">
        <v>129</v>
      </c>
      <c r="C36" t="s">
        <v>110</v>
      </c>
      <c r="D36" t="s">
        <v>89</v>
      </c>
      <c r="F36" s="6">
        <v>85413</v>
      </c>
      <c r="G36" t="s">
        <v>46</v>
      </c>
      <c r="H36" t="s">
        <v>131</v>
      </c>
    </row>
    <row r="37" spans="1:8" x14ac:dyDescent="0.2">
      <c r="A37" s="5">
        <v>46023</v>
      </c>
      <c r="B37" t="s">
        <v>129</v>
      </c>
      <c r="C37" t="s">
        <v>110</v>
      </c>
      <c r="D37" t="s">
        <v>91</v>
      </c>
      <c r="F37" s="6">
        <v>10560</v>
      </c>
      <c r="G37" t="s">
        <v>46</v>
      </c>
      <c r="H37" t="s">
        <v>131</v>
      </c>
    </row>
    <row r="38" spans="1:8" x14ac:dyDescent="0.2">
      <c r="A38" s="5">
        <v>46023</v>
      </c>
      <c r="B38" t="s">
        <v>129</v>
      </c>
      <c r="C38" t="s">
        <v>114</v>
      </c>
      <c r="D38" t="s">
        <v>67</v>
      </c>
      <c r="F38" s="6">
        <v>136931</v>
      </c>
      <c r="G38" t="s">
        <v>46</v>
      </c>
      <c r="H38" t="s">
        <v>131</v>
      </c>
    </row>
    <row r="39" spans="1:8" x14ac:dyDescent="0.2">
      <c r="A39" s="5">
        <v>46023</v>
      </c>
      <c r="B39" t="s">
        <v>129</v>
      </c>
      <c r="C39" t="s">
        <v>114</v>
      </c>
      <c r="D39" t="s">
        <v>71</v>
      </c>
      <c r="F39" s="6">
        <v>31486</v>
      </c>
      <c r="G39" t="s">
        <v>46</v>
      </c>
      <c r="H39" t="s">
        <v>131</v>
      </c>
    </row>
    <row r="40" spans="1:8" x14ac:dyDescent="0.2">
      <c r="A40" s="5">
        <v>46023</v>
      </c>
      <c r="B40" t="s">
        <v>129</v>
      </c>
      <c r="C40" t="s">
        <v>114</v>
      </c>
      <c r="D40" t="s">
        <v>75</v>
      </c>
      <c r="F40" s="6">
        <v>13711</v>
      </c>
      <c r="G40" t="s">
        <v>46</v>
      </c>
      <c r="H40" t="s">
        <v>131</v>
      </c>
    </row>
    <row r="41" spans="1:8" x14ac:dyDescent="0.2">
      <c r="A41" s="5">
        <v>46023</v>
      </c>
      <c r="B41" t="s">
        <v>129</v>
      </c>
      <c r="C41" t="s">
        <v>114</v>
      </c>
      <c r="D41" t="s">
        <v>76</v>
      </c>
      <c r="F41" s="6">
        <v>8707</v>
      </c>
      <c r="G41" t="s">
        <v>46</v>
      </c>
      <c r="H41" t="s">
        <v>131</v>
      </c>
    </row>
    <row r="42" spans="1:8" x14ac:dyDescent="0.2">
      <c r="A42" s="5">
        <v>46023</v>
      </c>
      <c r="B42" t="s">
        <v>129</v>
      </c>
      <c r="C42" t="s">
        <v>114</v>
      </c>
      <c r="D42" t="s">
        <v>79</v>
      </c>
      <c r="F42" s="6">
        <v>5518</v>
      </c>
      <c r="G42" t="s">
        <v>46</v>
      </c>
      <c r="H42" t="s">
        <v>131</v>
      </c>
    </row>
    <row r="43" spans="1:8" x14ac:dyDescent="0.2">
      <c r="A43" s="5">
        <v>46023</v>
      </c>
      <c r="B43" t="s">
        <v>129</v>
      </c>
      <c r="C43" t="s">
        <v>114</v>
      </c>
      <c r="D43" t="s">
        <v>87</v>
      </c>
      <c r="F43" s="6">
        <v>4017</v>
      </c>
      <c r="G43" t="s">
        <v>46</v>
      </c>
      <c r="H43" t="s">
        <v>131</v>
      </c>
    </row>
    <row r="44" spans="1:8" x14ac:dyDescent="0.2">
      <c r="A44" s="5">
        <v>46023</v>
      </c>
      <c r="B44" t="s">
        <v>129</v>
      </c>
      <c r="C44" t="s">
        <v>114</v>
      </c>
      <c r="D44" t="s">
        <v>91</v>
      </c>
      <c r="F44" s="6">
        <v>2859</v>
      </c>
      <c r="G44" t="s">
        <v>46</v>
      </c>
      <c r="H44" t="s">
        <v>131</v>
      </c>
    </row>
    <row r="45" spans="1:8" x14ac:dyDescent="0.2">
      <c r="A45" s="5">
        <v>46023</v>
      </c>
      <c r="B45" t="s">
        <v>129</v>
      </c>
      <c r="C45" t="s">
        <v>118</v>
      </c>
      <c r="D45" t="s">
        <v>67</v>
      </c>
      <c r="F45" s="6">
        <v>223237</v>
      </c>
      <c r="G45" t="s">
        <v>46</v>
      </c>
      <c r="H45" t="s">
        <v>131</v>
      </c>
    </row>
    <row r="46" spans="1:8" x14ac:dyDescent="0.2">
      <c r="A46" s="5">
        <v>46023</v>
      </c>
      <c r="B46" t="s">
        <v>129</v>
      </c>
      <c r="C46" t="s">
        <v>118</v>
      </c>
      <c r="D46" t="s">
        <v>71</v>
      </c>
      <c r="F46" s="6">
        <v>48676</v>
      </c>
      <c r="G46" t="s">
        <v>46</v>
      </c>
      <c r="H46" t="s">
        <v>131</v>
      </c>
    </row>
    <row r="47" spans="1:8" x14ac:dyDescent="0.2">
      <c r="A47" s="5">
        <v>46023</v>
      </c>
      <c r="B47" t="s">
        <v>129</v>
      </c>
      <c r="C47" t="s">
        <v>118</v>
      </c>
      <c r="D47" t="s">
        <v>75</v>
      </c>
      <c r="F47" s="6">
        <v>20663</v>
      </c>
      <c r="G47" t="s">
        <v>46</v>
      </c>
      <c r="H47" t="s">
        <v>131</v>
      </c>
    </row>
    <row r="48" spans="1:8" x14ac:dyDescent="0.2">
      <c r="A48" s="5">
        <v>46023</v>
      </c>
      <c r="B48" t="s">
        <v>129</v>
      </c>
      <c r="C48" t="s">
        <v>118</v>
      </c>
      <c r="D48" t="s">
        <v>76</v>
      </c>
      <c r="F48" s="6">
        <v>12967</v>
      </c>
      <c r="G48" t="s">
        <v>46</v>
      </c>
      <c r="H48" t="s">
        <v>131</v>
      </c>
    </row>
    <row r="49" spans="1:8" x14ac:dyDescent="0.2">
      <c r="A49" s="5">
        <v>46023</v>
      </c>
      <c r="B49" t="s">
        <v>129</v>
      </c>
      <c r="C49" t="s">
        <v>118</v>
      </c>
      <c r="D49" t="s">
        <v>79</v>
      </c>
      <c r="F49" s="6">
        <v>9146</v>
      </c>
      <c r="G49" t="s">
        <v>46</v>
      </c>
      <c r="H49" t="s">
        <v>131</v>
      </c>
    </row>
    <row r="50" spans="1:8" x14ac:dyDescent="0.2">
      <c r="A50" s="5">
        <v>46023</v>
      </c>
      <c r="B50" t="s">
        <v>129</v>
      </c>
      <c r="C50" t="s">
        <v>118</v>
      </c>
      <c r="D50" t="s">
        <v>83</v>
      </c>
      <c r="F50" s="6">
        <v>129047</v>
      </c>
      <c r="G50" t="s">
        <v>46</v>
      </c>
      <c r="H50" t="s">
        <v>131</v>
      </c>
    </row>
    <row r="51" spans="1:8" x14ac:dyDescent="0.2">
      <c r="A51" s="5">
        <v>46023</v>
      </c>
      <c r="B51" t="s">
        <v>129</v>
      </c>
      <c r="C51" t="s">
        <v>118</v>
      </c>
      <c r="D51" t="s">
        <v>85</v>
      </c>
      <c r="F51" s="6">
        <v>67040</v>
      </c>
      <c r="G51" t="s">
        <v>46</v>
      </c>
      <c r="H51" t="s">
        <v>131</v>
      </c>
    </row>
    <row r="52" spans="1:8" x14ac:dyDescent="0.2">
      <c r="A52" s="5">
        <v>46023</v>
      </c>
      <c r="B52" t="s">
        <v>129</v>
      </c>
      <c r="C52" t="s">
        <v>118</v>
      </c>
      <c r="D52" t="s">
        <v>87</v>
      </c>
      <c r="F52" s="6">
        <v>6936</v>
      </c>
      <c r="G52" t="s">
        <v>46</v>
      </c>
      <c r="H52" t="s">
        <v>131</v>
      </c>
    </row>
    <row r="53" spans="1:8" x14ac:dyDescent="0.2">
      <c r="A53" s="5">
        <v>46023</v>
      </c>
      <c r="B53" t="s">
        <v>129</v>
      </c>
      <c r="C53" t="s">
        <v>118</v>
      </c>
      <c r="D53" t="s">
        <v>91</v>
      </c>
      <c r="F53" s="6">
        <v>4477</v>
      </c>
      <c r="G53" t="s">
        <v>46</v>
      </c>
      <c r="H53" t="s">
        <v>131</v>
      </c>
    </row>
    <row r="54" spans="1:8" x14ac:dyDescent="0.2">
      <c r="A54" s="5">
        <v>46023</v>
      </c>
      <c r="B54" t="s">
        <v>134</v>
      </c>
      <c r="C54" t="s">
        <v>122</v>
      </c>
      <c r="D54" t="s">
        <v>54</v>
      </c>
      <c r="E54" t="s">
        <v>130</v>
      </c>
      <c r="F54" s="6">
        <v>559170</v>
      </c>
      <c r="G54" t="s">
        <v>135</v>
      </c>
      <c r="H54" t="s">
        <v>131</v>
      </c>
    </row>
    <row r="55" spans="1:8" x14ac:dyDescent="0.2">
      <c r="A55" s="5">
        <v>46023</v>
      </c>
      <c r="B55" t="s">
        <v>134</v>
      </c>
      <c r="C55" t="s">
        <v>122</v>
      </c>
      <c r="D55" t="s">
        <v>54</v>
      </c>
      <c r="E55" t="s">
        <v>132</v>
      </c>
      <c r="F55" s="6">
        <v>306718</v>
      </c>
      <c r="G55" t="s">
        <v>135</v>
      </c>
      <c r="H55" t="s">
        <v>131</v>
      </c>
    </row>
    <row r="56" spans="1:8" x14ac:dyDescent="0.2">
      <c r="A56" s="5">
        <v>46023</v>
      </c>
      <c r="B56" t="s">
        <v>134</v>
      </c>
      <c r="C56" t="s">
        <v>122</v>
      </c>
      <c r="D56" t="s">
        <v>58</v>
      </c>
      <c r="E56" t="s">
        <v>133</v>
      </c>
      <c r="F56" s="6">
        <v>86186</v>
      </c>
      <c r="G56" t="s">
        <v>135</v>
      </c>
      <c r="H56" t="s">
        <v>131</v>
      </c>
    </row>
    <row r="57" spans="1:8" x14ac:dyDescent="0.2">
      <c r="A57" s="5">
        <v>46023</v>
      </c>
      <c r="B57" t="s">
        <v>134</v>
      </c>
      <c r="C57" t="s">
        <v>97</v>
      </c>
      <c r="D57" t="s">
        <v>67</v>
      </c>
      <c r="F57" s="6">
        <v>101508</v>
      </c>
      <c r="G57" t="s">
        <v>135</v>
      </c>
      <c r="H57" t="s">
        <v>131</v>
      </c>
    </row>
    <row r="58" spans="1:8" x14ac:dyDescent="0.2">
      <c r="A58" s="5">
        <v>46023</v>
      </c>
      <c r="B58" t="s">
        <v>134</v>
      </c>
      <c r="C58" t="s">
        <v>97</v>
      </c>
      <c r="D58" t="s">
        <v>71</v>
      </c>
      <c r="F58" s="6">
        <v>23938</v>
      </c>
      <c r="G58" t="s">
        <v>135</v>
      </c>
      <c r="H58" t="s">
        <v>131</v>
      </c>
    </row>
    <row r="59" spans="1:8" x14ac:dyDescent="0.2">
      <c r="A59" s="5">
        <v>46023</v>
      </c>
      <c r="B59" t="s">
        <v>134</v>
      </c>
      <c r="C59" t="s">
        <v>97</v>
      </c>
      <c r="D59" t="s">
        <v>73</v>
      </c>
      <c r="F59" s="6">
        <v>37600</v>
      </c>
      <c r="G59" t="s">
        <v>135</v>
      </c>
      <c r="H59" t="s">
        <v>131</v>
      </c>
    </row>
    <row r="60" spans="1:8" x14ac:dyDescent="0.2">
      <c r="A60" s="5">
        <v>46023</v>
      </c>
      <c r="B60" t="s">
        <v>134</v>
      </c>
      <c r="C60" t="s">
        <v>97</v>
      </c>
      <c r="D60" t="s">
        <v>75</v>
      </c>
      <c r="F60" s="6">
        <v>10706</v>
      </c>
      <c r="G60" t="s">
        <v>135</v>
      </c>
      <c r="H60" t="s">
        <v>131</v>
      </c>
    </row>
    <row r="61" spans="1:8" x14ac:dyDescent="0.2">
      <c r="A61" s="5">
        <v>46023</v>
      </c>
      <c r="B61" t="s">
        <v>134</v>
      </c>
      <c r="C61" t="s">
        <v>97</v>
      </c>
      <c r="D61" t="s">
        <v>76</v>
      </c>
      <c r="F61" s="6">
        <v>6522</v>
      </c>
      <c r="G61" t="s">
        <v>135</v>
      </c>
      <c r="H61" t="s">
        <v>131</v>
      </c>
    </row>
    <row r="62" spans="1:8" x14ac:dyDescent="0.2">
      <c r="A62" s="5">
        <v>46023</v>
      </c>
      <c r="B62" t="s">
        <v>134</v>
      </c>
      <c r="C62" t="s">
        <v>97</v>
      </c>
      <c r="D62" t="s">
        <v>79</v>
      </c>
      <c r="F62" s="6">
        <v>9133</v>
      </c>
      <c r="G62" t="s">
        <v>135</v>
      </c>
      <c r="H62" t="s">
        <v>131</v>
      </c>
    </row>
    <row r="63" spans="1:8" x14ac:dyDescent="0.2">
      <c r="A63" s="5">
        <v>46023</v>
      </c>
      <c r="B63" t="s">
        <v>134</v>
      </c>
      <c r="C63" t="s">
        <v>97</v>
      </c>
      <c r="D63" t="s">
        <v>87</v>
      </c>
      <c r="F63" s="6">
        <v>3450</v>
      </c>
      <c r="G63" t="s">
        <v>135</v>
      </c>
      <c r="H63" t="s">
        <v>131</v>
      </c>
    </row>
    <row r="64" spans="1:8" x14ac:dyDescent="0.2">
      <c r="A64" s="5">
        <v>46023</v>
      </c>
      <c r="B64" t="s">
        <v>134</v>
      </c>
      <c r="C64" t="s">
        <v>97</v>
      </c>
      <c r="D64" t="s">
        <v>91</v>
      </c>
      <c r="F64" s="6">
        <v>2031</v>
      </c>
      <c r="G64" t="s">
        <v>135</v>
      </c>
      <c r="H64" t="s">
        <v>131</v>
      </c>
    </row>
    <row r="65" spans="1:8" x14ac:dyDescent="0.2">
      <c r="A65" s="5">
        <v>46023</v>
      </c>
      <c r="B65" t="s">
        <v>134</v>
      </c>
      <c r="C65" t="s">
        <v>102</v>
      </c>
      <c r="D65" t="s">
        <v>67</v>
      </c>
      <c r="F65" s="6">
        <v>52071</v>
      </c>
      <c r="G65" t="s">
        <v>135</v>
      </c>
      <c r="H65" t="s">
        <v>131</v>
      </c>
    </row>
    <row r="66" spans="1:8" x14ac:dyDescent="0.2">
      <c r="A66" s="5">
        <v>46023</v>
      </c>
      <c r="B66" t="s">
        <v>134</v>
      </c>
      <c r="C66" t="s">
        <v>102</v>
      </c>
      <c r="D66" t="s">
        <v>71</v>
      </c>
      <c r="F66" s="6">
        <v>10745</v>
      </c>
      <c r="G66" t="s">
        <v>135</v>
      </c>
      <c r="H66" t="s">
        <v>131</v>
      </c>
    </row>
    <row r="67" spans="1:8" x14ac:dyDescent="0.2">
      <c r="A67" s="5">
        <v>46023</v>
      </c>
      <c r="B67" t="s">
        <v>134</v>
      </c>
      <c r="C67" t="s">
        <v>102</v>
      </c>
      <c r="D67" t="s">
        <v>75</v>
      </c>
      <c r="F67" s="6">
        <v>4526</v>
      </c>
      <c r="G67" t="s">
        <v>135</v>
      </c>
      <c r="H67" t="s">
        <v>131</v>
      </c>
    </row>
    <row r="68" spans="1:8" x14ac:dyDescent="0.2">
      <c r="A68" s="5">
        <v>46023</v>
      </c>
      <c r="B68" t="s">
        <v>134</v>
      </c>
      <c r="C68" t="s">
        <v>102</v>
      </c>
      <c r="D68" t="s">
        <v>76</v>
      </c>
      <c r="F68" s="6">
        <v>3071</v>
      </c>
      <c r="G68" t="s">
        <v>135</v>
      </c>
      <c r="H68" t="s">
        <v>131</v>
      </c>
    </row>
    <row r="69" spans="1:8" x14ac:dyDescent="0.2">
      <c r="A69" s="5">
        <v>46023</v>
      </c>
      <c r="B69" t="s">
        <v>134</v>
      </c>
      <c r="C69" t="s">
        <v>102</v>
      </c>
      <c r="D69" t="s">
        <v>79</v>
      </c>
      <c r="F69" s="6">
        <v>3764</v>
      </c>
      <c r="G69" t="s">
        <v>135</v>
      </c>
      <c r="H69" t="s">
        <v>131</v>
      </c>
    </row>
    <row r="70" spans="1:8" x14ac:dyDescent="0.2">
      <c r="A70" s="5">
        <v>46023</v>
      </c>
      <c r="B70" t="s">
        <v>134</v>
      </c>
      <c r="C70" t="s">
        <v>102</v>
      </c>
      <c r="D70" t="s">
        <v>81</v>
      </c>
      <c r="F70" s="6">
        <v>63923</v>
      </c>
      <c r="G70" t="s">
        <v>135</v>
      </c>
      <c r="H70" t="s">
        <v>131</v>
      </c>
    </row>
    <row r="71" spans="1:8" x14ac:dyDescent="0.2">
      <c r="A71" s="5">
        <v>46023</v>
      </c>
      <c r="B71" t="s">
        <v>134</v>
      </c>
      <c r="C71" t="s">
        <v>102</v>
      </c>
      <c r="D71" t="s">
        <v>87</v>
      </c>
      <c r="F71" s="6">
        <v>1512</v>
      </c>
      <c r="G71" t="s">
        <v>135</v>
      </c>
      <c r="H71" t="s">
        <v>131</v>
      </c>
    </row>
    <row r="72" spans="1:8" x14ac:dyDescent="0.2">
      <c r="A72" s="5">
        <v>46023</v>
      </c>
      <c r="B72" t="s">
        <v>134</v>
      </c>
      <c r="C72" t="s">
        <v>102</v>
      </c>
      <c r="D72" t="s">
        <v>91</v>
      </c>
      <c r="F72" s="6">
        <v>965</v>
      </c>
      <c r="G72" t="s">
        <v>135</v>
      </c>
      <c r="H72" t="s">
        <v>131</v>
      </c>
    </row>
    <row r="73" spans="1:8" x14ac:dyDescent="0.2">
      <c r="A73" s="5">
        <v>46023</v>
      </c>
      <c r="B73" t="s">
        <v>134</v>
      </c>
      <c r="C73" t="s">
        <v>106</v>
      </c>
      <c r="D73" t="s">
        <v>65</v>
      </c>
      <c r="F73" s="6">
        <v>22181</v>
      </c>
      <c r="G73" t="s">
        <v>135</v>
      </c>
      <c r="H73" t="s">
        <v>131</v>
      </c>
    </row>
    <row r="74" spans="1:8" x14ac:dyDescent="0.2">
      <c r="A74" s="5">
        <v>46023</v>
      </c>
      <c r="B74" t="s">
        <v>134</v>
      </c>
      <c r="C74" t="s">
        <v>106</v>
      </c>
      <c r="D74" t="s">
        <v>67</v>
      </c>
      <c r="F74" s="6">
        <v>57837</v>
      </c>
      <c r="G74" t="s">
        <v>135</v>
      </c>
      <c r="H74" t="s">
        <v>131</v>
      </c>
    </row>
    <row r="75" spans="1:8" x14ac:dyDescent="0.2">
      <c r="A75" s="5">
        <v>46023</v>
      </c>
      <c r="B75" t="s">
        <v>134</v>
      </c>
      <c r="C75" t="s">
        <v>106</v>
      </c>
      <c r="D75" t="s">
        <v>71</v>
      </c>
      <c r="F75" s="6">
        <v>12292</v>
      </c>
      <c r="G75" t="s">
        <v>135</v>
      </c>
      <c r="H75" t="s">
        <v>131</v>
      </c>
    </row>
    <row r="76" spans="1:8" x14ac:dyDescent="0.2">
      <c r="A76" s="5">
        <v>46023</v>
      </c>
      <c r="B76" t="s">
        <v>134</v>
      </c>
      <c r="C76" t="s">
        <v>106</v>
      </c>
      <c r="D76" t="s">
        <v>75</v>
      </c>
      <c r="F76" s="6">
        <v>4925</v>
      </c>
      <c r="G76" t="s">
        <v>135</v>
      </c>
      <c r="H76" t="s">
        <v>131</v>
      </c>
    </row>
    <row r="77" spans="1:8" x14ac:dyDescent="0.2">
      <c r="A77" s="5">
        <v>46023</v>
      </c>
      <c r="B77" t="s">
        <v>134</v>
      </c>
      <c r="C77" t="s">
        <v>106</v>
      </c>
      <c r="D77" t="s">
        <v>76</v>
      </c>
      <c r="F77" s="6">
        <v>3255</v>
      </c>
      <c r="G77" t="s">
        <v>135</v>
      </c>
      <c r="H77" t="s">
        <v>131</v>
      </c>
    </row>
    <row r="78" spans="1:8" x14ac:dyDescent="0.2">
      <c r="A78" s="5">
        <v>46023</v>
      </c>
      <c r="B78" t="s">
        <v>134</v>
      </c>
      <c r="C78" t="s">
        <v>106</v>
      </c>
      <c r="D78" t="s">
        <v>79</v>
      </c>
      <c r="F78" s="6">
        <v>2085</v>
      </c>
      <c r="G78" t="s">
        <v>135</v>
      </c>
      <c r="H78" t="s">
        <v>131</v>
      </c>
    </row>
    <row r="79" spans="1:8" x14ac:dyDescent="0.2">
      <c r="A79" s="5">
        <v>46023</v>
      </c>
      <c r="B79" t="s">
        <v>134</v>
      </c>
      <c r="C79" t="s">
        <v>106</v>
      </c>
      <c r="D79" t="s">
        <v>87</v>
      </c>
      <c r="F79" s="6">
        <v>1569</v>
      </c>
      <c r="G79" t="s">
        <v>135</v>
      </c>
      <c r="H79" t="s">
        <v>131</v>
      </c>
    </row>
    <row r="80" spans="1:8" x14ac:dyDescent="0.2">
      <c r="A80" s="5">
        <v>46023</v>
      </c>
      <c r="B80" t="s">
        <v>134</v>
      </c>
      <c r="C80" t="s">
        <v>106</v>
      </c>
      <c r="D80" t="s">
        <v>91</v>
      </c>
      <c r="F80" s="6">
        <v>1044</v>
      </c>
      <c r="G80" t="s">
        <v>135</v>
      </c>
      <c r="H80" t="s">
        <v>131</v>
      </c>
    </row>
    <row r="81" spans="1:8" x14ac:dyDescent="0.2">
      <c r="A81" s="5">
        <v>46023</v>
      </c>
      <c r="B81" t="s">
        <v>134</v>
      </c>
      <c r="C81" t="s">
        <v>110</v>
      </c>
      <c r="D81" t="s">
        <v>61</v>
      </c>
      <c r="F81" s="6">
        <v>169828</v>
      </c>
      <c r="G81" t="s">
        <v>135</v>
      </c>
      <c r="H81" t="s">
        <v>131</v>
      </c>
    </row>
    <row r="82" spans="1:8" x14ac:dyDescent="0.2">
      <c r="A82" s="5">
        <v>46023</v>
      </c>
      <c r="B82" t="s">
        <v>134</v>
      </c>
      <c r="C82" t="s">
        <v>110</v>
      </c>
      <c r="D82" t="s">
        <v>67</v>
      </c>
      <c r="F82" s="6">
        <v>169229</v>
      </c>
      <c r="G82" t="s">
        <v>135</v>
      </c>
      <c r="H82" t="s">
        <v>131</v>
      </c>
    </row>
    <row r="83" spans="1:8" x14ac:dyDescent="0.2">
      <c r="A83" s="5">
        <v>46023</v>
      </c>
      <c r="B83" t="s">
        <v>134</v>
      </c>
      <c r="C83" t="s">
        <v>110</v>
      </c>
      <c r="D83" t="s">
        <v>71</v>
      </c>
      <c r="F83" s="6">
        <v>36716</v>
      </c>
      <c r="G83" t="s">
        <v>135</v>
      </c>
      <c r="H83" t="s">
        <v>131</v>
      </c>
    </row>
    <row r="84" spans="1:8" x14ac:dyDescent="0.2">
      <c r="A84" s="5">
        <v>46023</v>
      </c>
      <c r="B84" t="s">
        <v>134</v>
      </c>
      <c r="C84" t="s">
        <v>110</v>
      </c>
      <c r="D84" t="s">
        <v>75</v>
      </c>
      <c r="F84" s="6">
        <v>17561</v>
      </c>
      <c r="G84" t="s">
        <v>135</v>
      </c>
      <c r="H84" t="s">
        <v>131</v>
      </c>
    </row>
    <row r="85" spans="1:8" x14ac:dyDescent="0.2">
      <c r="A85" s="5">
        <v>46023</v>
      </c>
      <c r="B85" t="s">
        <v>134</v>
      </c>
      <c r="C85" t="s">
        <v>110</v>
      </c>
      <c r="D85" t="s">
        <v>76</v>
      </c>
      <c r="F85" s="6">
        <v>10163</v>
      </c>
      <c r="G85" t="s">
        <v>135</v>
      </c>
      <c r="H85" t="s">
        <v>131</v>
      </c>
    </row>
    <row r="86" spans="1:8" x14ac:dyDescent="0.2">
      <c r="A86" s="5">
        <v>46023</v>
      </c>
      <c r="B86" t="s">
        <v>134</v>
      </c>
      <c r="C86" t="s">
        <v>110</v>
      </c>
      <c r="D86" t="s">
        <v>79</v>
      </c>
      <c r="F86" s="6">
        <v>6666</v>
      </c>
      <c r="G86" t="s">
        <v>135</v>
      </c>
      <c r="H86" t="s">
        <v>131</v>
      </c>
    </row>
    <row r="87" spans="1:8" x14ac:dyDescent="0.2">
      <c r="A87" s="5">
        <v>46023</v>
      </c>
      <c r="B87" t="s">
        <v>134</v>
      </c>
      <c r="C87" t="s">
        <v>110</v>
      </c>
      <c r="D87" t="s">
        <v>87</v>
      </c>
      <c r="F87" s="6">
        <v>5262</v>
      </c>
      <c r="G87" t="s">
        <v>135</v>
      </c>
      <c r="H87" t="s">
        <v>131</v>
      </c>
    </row>
    <row r="88" spans="1:8" x14ac:dyDescent="0.2">
      <c r="A88" s="5">
        <v>46023</v>
      </c>
      <c r="B88" t="s">
        <v>134</v>
      </c>
      <c r="C88" t="s">
        <v>110</v>
      </c>
      <c r="D88" t="s">
        <v>89</v>
      </c>
      <c r="F88" s="6">
        <v>29290</v>
      </c>
      <c r="G88" t="s">
        <v>135</v>
      </c>
      <c r="H88" t="s">
        <v>131</v>
      </c>
    </row>
    <row r="89" spans="1:8" x14ac:dyDescent="0.2">
      <c r="A89" s="5">
        <v>46023</v>
      </c>
      <c r="B89" t="s">
        <v>134</v>
      </c>
      <c r="C89" t="s">
        <v>110</v>
      </c>
      <c r="D89" t="s">
        <v>91</v>
      </c>
      <c r="F89" s="6">
        <v>3402</v>
      </c>
      <c r="G89" t="s">
        <v>135</v>
      </c>
      <c r="H89" t="s">
        <v>131</v>
      </c>
    </row>
    <row r="90" spans="1:8" x14ac:dyDescent="0.2">
      <c r="A90" s="5">
        <v>46023</v>
      </c>
      <c r="B90" t="s">
        <v>134</v>
      </c>
      <c r="C90" t="s">
        <v>114</v>
      </c>
      <c r="D90" t="s">
        <v>67</v>
      </c>
      <c r="F90" s="6">
        <v>47396</v>
      </c>
      <c r="G90" t="s">
        <v>135</v>
      </c>
      <c r="H90" t="s">
        <v>131</v>
      </c>
    </row>
    <row r="91" spans="1:8" x14ac:dyDescent="0.2">
      <c r="A91" s="5">
        <v>46023</v>
      </c>
      <c r="B91" t="s">
        <v>134</v>
      </c>
      <c r="C91" t="s">
        <v>114</v>
      </c>
      <c r="D91" t="s">
        <v>71</v>
      </c>
      <c r="F91" s="6">
        <v>10299</v>
      </c>
      <c r="G91" t="s">
        <v>135</v>
      </c>
      <c r="H91" t="s">
        <v>131</v>
      </c>
    </row>
    <row r="92" spans="1:8" x14ac:dyDescent="0.2">
      <c r="A92" s="5">
        <v>46023</v>
      </c>
      <c r="B92" t="s">
        <v>134</v>
      </c>
      <c r="C92" t="s">
        <v>114</v>
      </c>
      <c r="D92" t="s">
        <v>75</v>
      </c>
      <c r="F92" s="6">
        <v>4573</v>
      </c>
      <c r="G92" t="s">
        <v>135</v>
      </c>
      <c r="H92" t="s">
        <v>131</v>
      </c>
    </row>
    <row r="93" spans="1:8" x14ac:dyDescent="0.2">
      <c r="A93" s="5">
        <v>46023</v>
      </c>
      <c r="B93" t="s">
        <v>134</v>
      </c>
      <c r="C93" t="s">
        <v>114</v>
      </c>
      <c r="D93" t="s">
        <v>76</v>
      </c>
      <c r="F93" s="6">
        <v>2727</v>
      </c>
      <c r="G93" t="s">
        <v>135</v>
      </c>
      <c r="H93" t="s">
        <v>131</v>
      </c>
    </row>
    <row r="94" spans="1:8" x14ac:dyDescent="0.2">
      <c r="A94" s="5">
        <v>46023</v>
      </c>
      <c r="B94" t="s">
        <v>134</v>
      </c>
      <c r="C94" t="s">
        <v>114</v>
      </c>
      <c r="D94" t="s">
        <v>79</v>
      </c>
      <c r="F94" s="6">
        <v>1783</v>
      </c>
      <c r="G94" t="s">
        <v>135</v>
      </c>
      <c r="H94" t="s">
        <v>131</v>
      </c>
    </row>
    <row r="95" spans="1:8" x14ac:dyDescent="0.2">
      <c r="A95" s="5">
        <v>46023</v>
      </c>
      <c r="B95" t="s">
        <v>134</v>
      </c>
      <c r="C95" t="s">
        <v>114</v>
      </c>
      <c r="D95" t="s">
        <v>87</v>
      </c>
      <c r="F95" s="6">
        <v>1309</v>
      </c>
      <c r="G95" t="s">
        <v>135</v>
      </c>
      <c r="H95" t="s">
        <v>131</v>
      </c>
    </row>
    <row r="96" spans="1:8" x14ac:dyDescent="0.2">
      <c r="A96" s="5">
        <v>46023</v>
      </c>
      <c r="B96" t="s">
        <v>134</v>
      </c>
      <c r="C96" t="s">
        <v>114</v>
      </c>
      <c r="D96" t="s">
        <v>91</v>
      </c>
      <c r="F96" s="6">
        <v>993</v>
      </c>
      <c r="G96" t="s">
        <v>135</v>
      </c>
      <c r="H96" t="s">
        <v>131</v>
      </c>
    </row>
    <row r="97" spans="1:8" x14ac:dyDescent="0.2">
      <c r="A97" s="5">
        <v>46023</v>
      </c>
      <c r="B97" t="s">
        <v>134</v>
      </c>
      <c r="C97" t="s">
        <v>118</v>
      </c>
      <c r="D97" t="s">
        <v>67</v>
      </c>
      <c r="F97" s="6">
        <v>72262</v>
      </c>
      <c r="G97" t="s">
        <v>135</v>
      </c>
      <c r="H97" t="s">
        <v>131</v>
      </c>
    </row>
    <row r="98" spans="1:8" x14ac:dyDescent="0.2">
      <c r="A98" s="5">
        <v>46023</v>
      </c>
      <c r="B98" t="s">
        <v>134</v>
      </c>
      <c r="C98" t="s">
        <v>118</v>
      </c>
      <c r="D98" t="s">
        <v>71</v>
      </c>
      <c r="F98" s="6">
        <v>14212</v>
      </c>
      <c r="G98" t="s">
        <v>135</v>
      </c>
      <c r="H98" t="s">
        <v>131</v>
      </c>
    </row>
    <row r="99" spans="1:8" x14ac:dyDescent="0.2">
      <c r="A99" s="5">
        <v>46023</v>
      </c>
      <c r="B99" t="s">
        <v>134</v>
      </c>
      <c r="C99" t="s">
        <v>118</v>
      </c>
      <c r="D99" t="s">
        <v>75</v>
      </c>
      <c r="F99" s="6">
        <v>7169</v>
      </c>
      <c r="G99" t="s">
        <v>135</v>
      </c>
      <c r="H99" t="s">
        <v>131</v>
      </c>
    </row>
    <row r="100" spans="1:8" x14ac:dyDescent="0.2">
      <c r="A100" s="5">
        <v>46023</v>
      </c>
      <c r="B100" t="s">
        <v>134</v>
      </c>
      <c r="C100" t="s">
        <v>118</v>
      </c>
      <c r="D100" t="s">
        <v>76</v>
      </c>
      <c r="F100" s="6">
        <v>4150</v>
      </c>
      <c r="G100" t="s">
        <v>135</v>
      </c>
      <c r="H100" t="s">
        <v>131</v>
      </c>
    </row>
    <row r="101" spans="1:8" x14ac:dyDescent="0.2">
      <c r="A101" s="5">
        <v>46023</v>
      </c>
      <c r="B101" t="s">
        <v>134</v>
      </c>
      <c r="C101" t="s">
        <v>118</v>
      </c>
      <c r="D101" t="s">
        <v>79</v>
      </c>
      <c r="F101" s="6">
        <v>2736</v>
      </c>
      <c r="G101" t="s">
        <v>135</v>
      </c>
      <c r="H101" t="s">
        <v>131</v>
      </c>
    </row>
    <row r="102" spans="1:8" x14ac:dyDescent="0.2">
      <c r="A102" s="5">
        <v>46023</v>
      </c>
      <c r="B102" t="s">
        <v>134</v>
      </c>
      <c r="C102" t="s">
        <v>118</v>
      </c>
      <c r="D102" t="s">
        <v>83</v>
      </c>
      <c r="F102" s="6">
        <v>40749</v>
      </c>
      <c r="G102" t="s">
        <v>135</v>
      </c>
      <c r="H102" t="s">
        <v>131</v>
      </c>
    </row>
    <row r="103" spans="1:8" x14ac:dyDescent="0.2">
      <c r="A103" s="5">
        <v>46023</v>
      </c>
      <c r="B103" t="s">
        <v>134</v>
      </c>
      <c r="C103" t="s">
        <v>118</v>
      </c>
      <c r="D103" t="s">
        <v>85</v>
      </c>
      <c r="F103" s="6">
        <v>23072</v>
      </c>
      <c r="G103" t="s">
        <v>135</v>
      </c>
      <c r="H103" t="s">
        <v>131</v>
      </c>
    </row>
    <row r="104" spans="1:8" x14ac:dyDescent="0.2">
      <c r="A104" s="5">
        <v>46023</v>
      </c>
      <c r="B104" t="s">
        <v>134</v>
      </c>
      <c r="C104" t="s">
        <v>118</v>
      </c>
      <c r="D104" t="s">
        <v>87</v>
      </c>
      <c r="F104" s="6">
        <v>2229</v>
      </c>
      <c r="G104" t="s">
        <v>135</v>
      </c>
      <c r="H104" t="s">
        <v>131</v>
      </c>
    </row>
    <row r="105" spans="1:8" x14ac:dyDescent="0.2">
      <c r="A105" s="5">
        <v>46023</v>
      </c>
      <c r="B105" t="s">
        <v>134</v>
      </c>
      <c r="C105" t="s">
        <v>118</v>
      </c>
      <c r="D105" t="s">
        <v>91</v>
      </c>
      <c r="F105" s="6">
        <v>1413</v>
      </c>
      <c r="G105" t="s">
        <v>135</v>
      </c>
      <c r="H105" t="s">
        <v>131</v>
      </c>
    </row>
    <row r="106" spans="1:8" x14ac:dyDescent="0.2">
      <c r="A106" s="5">
        <v>46054</v>
      </c>
      <c r="B106" t="s">
        <v>129</v>
      </c>
      <c r="C106" t="s">
        <v>122</v>
      </c>
      <c r="D106" t="s">
        <v>54</v>
      </c>
      <c r="E106" t="s">
        <v>130</v>
      </c>
      <c r="F106" s="6">
        <v>1793657</v>
      </c>
      <c r="G106" t="s">
        <v>46</v>
      </c>
      <c r="H106" t="s">
        <v>131</v>
      </c>
    </row>
    <row r="107" spans="1:8" x14ac:dyDescent="0.2">
      <c r="A107" s="5">
        <v>46054</v>
      </c>
      <c r="B107" t="s">
        <v>129</v>
      </c>
      <c r="C107" t="s">
        <v>122</v>
      </c>
      <c r="D107" t="s">
        <v>54</v>
      </c>
      <c r="E107" t="s">
        <v>132</v>
      </c>
      <c r="F107" s="6">
        <v>925992</v>
      </c>
      <c r="G107" t="s">
        <v>46</v>
      </c>
      <c r="H107" t="s">
        <v>131</v>
      </c>
    </row>
    <row r="108" spans="1:8" x14ac:dyDescent="0.2">
      <c r="A108" s="5">
        <v>46054</v>
      </c>
      <c r="B108" t="s">
        <v>129</v>
      </c>
      <c r="C108" t="s">
        <v>122</v>
      </c>
      <c r="D108" t="s">
        <v>58</v>
      </c>
      <c r="E108" t="s">
        <v>133</v>
      </c>
      <c r="F108" s="6">
        <v>278721</v>
      </c>
      <c r="G108" t="s">
        <v>46</v>
      </c>
      <c r="H108" t="s">
        <v>131</v>
      </c>
    </row>
    <row r="109" spans="1:8" x14ac:dyDescent="0.2">
      <c r="A109" s="5">
        <v>46054</v>
      </c>
      <c r="B109" t="s">
        <v>129</v>
      </c>
      <c r="C109" t="s">
        <v>97</v>
      </c>
      <c r="D109" t="s">
        <v>67</v>
      </c>
      <c r="F109" s="6">
        <v>328328</v>
      </c>
      <c r="G109" t="s">
        <v>46</v>
      </c>
      <c r="H109" t="s">
        <v>131</v>
      </c>
    </row>
    <row r="110" spans="1:8" x14ac:dyDescent="0.2">
      <c r="A110" s="5">
        <v>46054</v>
      </c>
      <c r="B110" t="s">
        <v>129</v>
      </c>
      <c r="C110" t="s">
        <v>97</v>
      </c>
      <c r="D110" t="s">
        <v>71</v>
      </c>
      <c r="F110" s="6">
        <v>69971</v>
      </c>
      <c r="G110" t="s">
        <v>46</v>
      </c>
      <c r="H110" t="s">
        <v>131</v>
      </c>
    </row>
    <row r="111" spans="1:8" x14ac:dyDescent="0.2">
      <c r="A111" s="5">
        <v>46054</v>
      </c>
      <c r="B111" t="s">
        <v>129</v>
      </c>
      <c r="C111" t="s">
        <v>97</v>
      </c>
      <c r="D111" t="s">
        <v>73</v>
      </c>
      <c r="F111" s="6">
        <v>112332</v>
      </c>
      <c r="G111" t="s">
        <v>46</v>
      </c>
      <c r="H111" t="s">
        <v>131</v>
      </c>
    </row>
    <row r="112" spans="1:8" x14ac:dyDescent="0.2">
      <c r="A112" s="5">
        <v>46054</v>
      </c>
      <c r="B112" t="s">
        <v>129</v>
      </c>
      <c r="C112" t="s">
        <v>97</v>
      </c>
      <c r="D112" t="s">
        <v>75</v>
      </c>
      <c r="F112" s="6">
        <v>31552</v>
      </c>
      <c r="G112" t="s">
        <v>46</v>
      </c>
      <c r="H112" t="s">
        <v>131</v>
      </c>
    </row>
    <row r="113" spans="1:8" x14ac:dyDescent="0.2">
      <c r="A113" s="5">
        <v>46054</v>
      </c>
      <c r="B113" t="s">
        <v>129</v>
      </c>
      <c r="C113" t="s">
        <v>97</v>
      </c>
      <c r="D113" t="s">
        <v>76</v>
      </c>
      <c r="F113" s="6">
        <v>20214</v>
      </c>
      <c r="G113" t="s">
        <v>46</v>
      </c>
      <c r="H113" t="s">
        <v>131</v>
      </c>
    </row>
    <row r="114" spans="1:8" x14ac:dyDescent="0.2">
      <c r="A114" s="5">
        <v>46054</v>
      </c>
      <c r="B114" t="s">
        <v>129</v>
      </c>
      <c r="C114" t="s">
        <v>97</v>
      </c>
      <c r="D114" t="s">
        <v>79</v>
      </c>
      <c r="F114" s="6">
        <v>26525</v>
      </c>
      <c r="G114" t="s">
        <v>46</v>
      </c>
      <c r="H114" t="s">
        <v>131</v>
      </c>
    </row>
    <row r="115" spans="1:8" x14ac:dyDescent="0.2">
      <c r="A115" s="5">
        <v>46054</v>
      </c>
      <c r="B115" t="s">
        <v>129</v>
      </c>
      <c r="C115" t="s">
        <v>97</v>
      </c>
      <c r="D115" t="s">
        <v>87</v>
      </c>
      <c r="F115" s="6">
        <v>10183</v>
      </c>
      <c r="G115" t="s">
        <v>46</v>
      </c>
      <c r="H115" t="s">
        <v>131</v>
      </c>
    </row>
    <row r="116" spans="1:8" x14ac:dyDescent="0.2">
      <c r="A116" s="5">
        <v>46054</v>
      </c>
      <c r="B116" t="s">
        <v>129</v>
      </c>
      <c r="C116" t="s">
        <v>97</v>
      </c>
      <c r="D116" t="s">
        <v>91</v>
      </c>
      <c r="F116" s="6">
        <v>6822</v>
      </c>
      <c r="G116" t="s">
        <v>46</v>
      </c>
      <c r="H116" t="s">
        <v>131</v>
      </c>
    </row>
    <row r="117" spans="1:8" x14ac:dyDescent="0.2">
      <c r="A117" s="5">
        <v>46054</v>
      </c>
      <c r="B117" t="s">
        <v>129</v>
      </c>
      <c r="C117" t="s">
        <v>102</v>
      </c>
      <c r="D117" t="s">
        <v>67</v>
      </c>
      <c r="F117" s="6">
        <v>155990</v>
      </c>
      <c r="G117" t="s">
        <v>46</v>
      </c>
      <c r="H117" t="s">
        <v>131</v>
      </c>
    </row>
    <row r="118" spans="1:8" x14ac:dyDescent="0.2">
      <c r="A118" s="5">
        <v>46054</v>
      </c>
      <c r="B118" t="s">
        <v>129</v>
      </c>
      <c r="C118" t="s">
        <v>102</v>
      </c>
      <c r="D118" t="s">
        <v>71</v>
      </c>
      <c r="F118" s="6">
        <v>33774</v>
      </c>
      <c r="G118" t="s">
        <v>46</v>
      </c>
      <c r="H118" t="s">
        <v>131</v>
      </c>
    </row>
    <row r="119" spans="1:8" x14ac:dyDescent="0.2">
      <c r="A119" s="5">
        <v>46054</v>
      </c>
      <c r="B119" t="s">
        <v>129</v>
      </c>
      <c r="C119" t="s">
        <v>102</v>
      </c>
      <c r="D119" t="s">
        <v>75</v>
      </c>
      <c r="F119" s="6">
        <v>14759</v>
      </c>
      <c r="G119" t="s">
        <v>46</v>
      </c>
      <c r="H119" t="s">
        <v>131</v>
      </c>
    </row>
    <row r="120" spans="1:8" x14ac:dyDescent="0.2">
      <c r="A120" s="5">
        <v>46054</v>
      </c>
      <c r="B120" t="s">
        <v>129</v>
      </c>
      <c r="C120" t="s">
        <v>102</v>
      </c>
      <c r="D120" t="s">
        <v>76</v>
      </c>
      <c r="F120" s="6">
        <v>9191</v>
      </c>
      <c r="G120" t="s">
        <v>46</v>
      </c>
      <c r="H120" t="s">
        <v>131</v>
      </c>
    </row>
    <row r="121" spans="1:8" x14ac:dyDescent="0.2">
      <c r="A121" s="5">
        <v>46054</v>
      </c>
      <c r="B121" t="s">
        <v>129</v>
      </c>
      <c r="C121" t="s">
        <v>102</v>
      </c>
      <c r="D121" t="s">
        <v>79</v>
      </c>
      <c r="F121" s="6">
        <v>12064</v>
      </c>
      <c r="G121" t="s">
        <v>46</v>
      </c>
      <c r="H121" t="s">
        <v>131</v>
      </c>
    </row>
    <row r="122" spans="1:8" x14ac:dyDescent="0.2">
      <c r="A122" s="5">
        <v>46054</v>
      </c>
      <c r="B122" t="s">
        <v>129</v>
      </c>
      <c r="C122" t="s">
        <v>102</v>
      </c>
      <c r="D122" t="s">
        <v>81</v>
      </c>
      <c r="F122" s="6">
        <v>204528</v>
      </c>
      <c r="G122" t="s">
        <v>46</v>
      </c>
      <c r="H122" t="s">
        <v>131</v>
      </c>
    </row>
    <row r="123" spans="1:8" x14ac:dyDescent="0.2">
      <c r="A123" s="5">
        <v>46054</v>
      </c>
      <c r="B123" t="s">
        <v>129</v>
      </c>
      <c r="C123" t="s">
        <v>102</v>
      </c>
      <c r="D123" t="s">
        <v>87</v>
      </c>
      <c r="F123" s="6">
        <v>4792</v>
      </c>
      <c r="G123" t="s">
        <v>46</v>
      </c>
      <c r="H123" t="s">
        <v>131</v>
      </c>
    </row>
    <row r="124" spans="1:8" x14ac:dyDescent="0.2">
      <c r="A124" s="5">
        <v>46054</v>
      </c>
      <c r="B124" t="s">
        <v>129</v>
      </c>
      <c r="C124" t="s">
        <v>102</v>
      </c>
      <c r="D124" t="s">
        <v>91</v>
      </c>
      <c r="F124" s="6">
        <v>2931</v>
      </c>
      <c r="G124" t="s">
        <v>46</v>
      </c>
      <c r="H124" t="s">
        <v>131</v>
      </c>
    </row>
    <row r="125" spans="1:8" x14ac:dyDescent="0.2">
      <c r="A125" s="5">
        <v>46054</v>
      </c>
      <c r="B125" t="s">
        <v>129</v>
      </c>
      <c r="C125" t="s">
        <v>106</v>
      </c>
      <c r="D125" t="s">
        <v>65</v>
      </c>
      <c r="F125" s="6">
        <v>70193</v>
      </c>
      <c r="G125" t="s">
        <v>46</v>
      </c>
      <c r="H125" t="s">
        <v>131</v>
      </c>
    </row>
    <row r="126" spans="1:8" x14ac:dyDescent="0.2">
      <c r="A126" s="5">
        <v>46054</v>
      </c>
      <c r="B126" t="s">
        <v>129</v>
      </c>
      <c r="C126" t="s">
        <v>106</v>
      </c>
      <c r="D126" t="s">
        <v>67</v>
      </c>
      <c r="F126" s="6">
        <v>174581</v>
      </c>
      <c r="G126" t="s">
        <v>46</v>
      </c>
      <c r="H126" t="s">
        <v>131</v>
      </c>
    </row>
    <row r="127" spans="1:8" x14ac:dyDescent="0.2">
      <c r="A127" s="5">
        <v>46054</v>
      </c>
      <c r="B127" t="s">
        <v>129</v>
      </c>
      <c r="C127" t="s">
        <v>106</v>
      </c>
      <c r="D127" t="s">
        <v>71</v>
      </c>
      <c r="F127" s="6">
        <v>37814</v>
      </c>
      <c r="G127" t="s">
        <v>46</v>
      </c>
      <c r="H127" t="s">
        <v>131</v>
      </c>
    </row>
    <row r="128" spans="1:8" x14ac:dyDescent="0.2">
      <c r="A128" s="5">
        <v>46054</v>
      </c>
      <c r="B128" t="s">
        <v>129</v>
      </c>
      <c r="C128" t="s">
        <v>106</v>
      </c>
      <c r="D128" t="s">
        <v>75</v>
      </c>
      <c r="F128" s="6">
        <v>16789</v>
      </c>
      <c r="G128" t="s">
        <v>46</v>
      </c>
      <c r="H128" t="s">
        <v>131</v>
      </c>
    </row>
    <row r="129" spans="1:8" x14ac:dyDescent="0.2">
      <c r="A129" s="5">
        <v>46054</v>
      </c>
      <c r="B129" t="s">
        <v>129</v>
      </c>
      <c r="C129" t="s">
        <v>106</v>
      </c>
      <c r="D129" t="s">
        <v>76</v>
      </c>
      <c r="F129" s="6">
        <v>10291</v>
      </c>
      <c r="G129" t="s">
        <v>46</v>
      </c>
      <c r="H129" t="s">
        <v>131</v>
      </c>
    </row>
    <row r="130" spans="1:8" x14ac:dyDescent="0.2">
      <c r="A130" s="5">
        <v>46054</v>
      </c>
      <c r="B130" t="s">
        <v>129</v>
      </c>
      <c r="C130" t="s">
        <v>106</v>
      </c>
      <c r="D130" t="s">
        <v>79</v>
      </c>
      <c r="F130" s="6">
        <v>6792</v>
      </c>
      <c r="G130" t="s">
        <v>46</v>
      </c>
      <c r="H130" t="s">
        <v>131</v>
      </c>
    </row>
    <row r="131" spans="1:8" x14ac:dyDescent="0.2">
      <c r="A131" s="5">
        <v>46054</v>
      </c>
      <c r="B131" t="s">
        <v>129</v>
      </c>
      <c r="C131" t="s">
        <v>106</v>
      </c>
      <c r="D131" t="s">
        <v>87</v>
      </c>
      <c r="F131" s="6">
        <v>4927</v>
      </c>
      <c r="G131" t="s">
        <v>46</v>
      </c>
      <c r="H131" t="s">
        <v>131</v>
      </c>
    </row>
    <row r="132" spans="1:8" x14ac:dyDescent="0.2">
      <c r="A132" s="5">
        <v>46054</v>
      </c>
      <c r="B132" t="s">
        <v>129</v>
      </c>
      <c r="C132" t="s">
        <v>106</v>
      </c>
      <c r="D132" t="s">
        <v>91</v>
      </c>
      <c r="F132" s="6">
        <v>3290</v>
      </c>
      <c r="G132" t="s">
        <v>46</v>
      </c>
      <c r="H132" t="s">
        <v>131</v>
      </c>
    </row>
    <row r="133" spans="1:8" x14ac:dyDescent="0.2">
      <c r="A133" s="5">
        <v>46054</v>
      </c>
      <c r="B133" t="s">
        <v>129</v>
      </c>
      <c r="C133" t="s">
        <v>110</v>
      </c>
      <c r="D133" t="s">
        <v>61</v>
      </c>
      <c r="F133" s="6">
        <v>489080</v>
      </c>
      <c r="G133" t="s">
        <v>46</v>
      </c>
      <c r="H133" t="s">
        <v>131</v>
      </c>
    </row>
    <row r="134" spans="1:8" x14ac:dyDescent="0.2">
      <c r="A134" s="5">
        <v>46054</v>
      </c>
      <c r="B134" t="s">
        <v>129</v>
      </c>
      <c r="C134" t="s">
        <v>110</v>
      </c>
      <c r="D134" t="s">
        <v>67</v>
      </c>
      <c r="F134" s="6">
        <v>515588</v>
      </c>
      <c r="G134" t="s">
        <v>46</v>
      </c>
      <c r="H134" t="s">
        <v>131</v>
      </c>
    </row>
    <row r="135" spans="1:8" x14ac:dyDescent="0.2">
      <c r="A135" s="5">
        <v>46054</v>
      </c>
      <c r="B135" t="s">
        <v>129</v>
      </c>
      <c r="C135" t="s">
        <v>110</v>
      </c>
      <c r="D135" t="s">
        <v>71</v>
      </c>
      <c r="F135" s="6">
        <v>128009</v>
      </c>
      <c r="G135" t="s">
        <v>46</v>
      </c>
      <c r="H135" t="s">
        <v>131</v>
      </c>
    </row>
    <row r="136" spans="1:8" x14ac:dyDescent="0.2">
      <c r="A136" s="5">
        <v>46054</v>
      </c>
      <c r="B136" t="s">
        <v>129</v>
      </c>
      <c r="C136" t="s">
        <v>110</v>
      </c>
      <c r="D136" t="s">
        <v>75</v>
      </c>
      <c r="F136" s="6">
        <v>50260</v>
      </c>
      <c r="G136" t="s">
        <v>46</v>
      </c>
      <c r="H136" t="s">
        <v>131</v>
      </c>
    </row>
    <row r="137" spans="1:8" x14ac:dyDescent="0.2">
      <c r="A137" s="5">
        <v>46054</v>
      </c>
      <c r="B137" t="s">
        <v>129</v>
      </c>
      <c r="C137" t="s">
        <v>110</v>
      </c>
      <c r="D137" t="s">
        <v>76</v>
      </c>
      <c r="F137" s="6">
        <v>32883</v>
      </c>
      <c r="G137" t="s">
        <v>46</v>
      </c>
      <c r="H137" t="s">
        <v>131</v>
      </c>
    </row>
    <row r="138" spans="1:8" x14ac:dyDescent="0.2">
      <c r="A138" s="5">
        <v>46054</v>
      </c>
      <c r="B138" t="s">
        <v>129</v>
      </c>
      <c r="C138" t="s">
        <v>110</v>
      </c>
      <c r="D138" t="s">
        <v>79</v>
      </c>
      <c r="F138" s="6">
        <v>21325</v>
      </c>
      <c r="G138" t="s">
        <v>46</v>
      </c>
      <c r="H138" t="s">
        <v>131</v>
      </c>
    </row>
    <row r="139" spans="1:8" x14ac:dyDescent="0.2">
      <c r="A139" s="5">
        <v>46054</v>
      </c>
      <c r="B139" t="s">
        <v>129</v>
      </c>
      <c r="C139" t="s">
        <v>110</v>
      </c>
      <c r="D139" t="s">
        <v>87</v>
      </c>
      <c r="F139" s="6">
        <v>16532</v>
      </c>
      <c r="G139" t="s">
        <v>46</v>
      </c>
      <c r="H139" t="s">
        <v>131</v>
      </c>
    </row>
    <row r="140" spans="1:8" x14ac:dyDescent="0.2">
      <c r="A140" s="5">
        <v>46054</v>
      </c>
      <c r="B140" t="s">
        <v>129</v>
      </c>
      <c r="C140" t="s">
        <v>110</v>
      </c>
      <c r="D140" t="s">
        <v>89</v>
      </c>
      <c r="F140" s="6">
        <v>93213</v>
      </c>
      <c r="G140" t="s">
        <v>46</v>
      </c>
      <c r="H140" t="s">
        <v>131</v>
      </c>
    </row>
    <row r="141" spans="1:8" x14ac:dyDescent="0.2">
      <c r="A141" s="5">
        <v>46054</v>
      </c>
      <c r="B141" t="s">
        <v>129</v>
      </c>
      <c r="C141" t="s">
        <v>110</v>
      </c>
      <c r="D141" t="s">
        <v>91</v>
      </c>
      <c r="F141" s="6">
        <v>10574</v>
      </c>
      <c r="G141" t="s">
        <v>46</v>
      </c>
      <c r="H141" t="s">
        <v>131</v>
      </c>
    </row>
    <row r="142" spans="1:8" x14ac:dyDescent="0.2">
      <c r="A142" s="5">
        <v>46054</v>
      </c>
      <c r="B142" t="s">
        <v>129</v>
      </c>
      <c r="C142" t="s">
        <v>114</v>
      </c>
      <c r="D142" t="s">
        <v>67</v>
      </c>
      <c r="F142" s="6">
        <v>144697</v>
      </c>
      <c r="G142" t="s">
        <v>46</v>
      </c>
      <c r="H142" t="s">
        <v>131</v>
      </c>
    </row>
    <row r="143" spans="1:8" x14ac:dyDescent="0.2">
      <c r="A143" s="5">
        <v>46054</v>
      </c>
      <c r="B143" t="s">
        <v>129</v>
      </c>
      <c r="C143" t="s">
        <v>114</v>
      </c>
      <c r="D143" t="s">
        <v>71</v>
      </c>
      <c r="F143" s="6">
        <v>31313</v>
      </c>
      <c r="G143" t="s">
        <v>46</v>
      </c>
      <c r="H143" t="s">
        <v>131</v>
      </c>
    </row>
    <row r="144" spans="1:8" x14ac:dyDescent="0.2">
      <c r="A144" s="5">
        <v>46054</v>
      </c>
      <c r="B144" t="s">
        <v>129</v>
      </c>
      <c r="C144" t="s">
        <v>114</v>
      </c>
      <c r="D144" t="s">
        <v>75</v>
      </c>
      <c r="F144" s="6">
        <v>14177</v>
      </c>
      <c r="G144" t="s">
        <v>46</v>
      </c>
      <c r="H144" t="s">
        <v>131</v>
      </c>
    </row>
    <row r="145" spans="1:8" x14ac:dyDescent="0.2">
      <c r="A145" s="5">
        <v>46054</v>
      </c>
      <c r="B145" t="s">
        <v>129</v>
      </c>
      <c r="C145" t="s">
        <v>114</v>
      </c>
      <c r="D145" t="s">
        <v>76</v>
      </c>
      <c r="F145" s="6">
        <v>8468</v>
      </c>
      <c r="G145" t="s">
        <v>46</v>
      </c>
      <c r="H145" t="s">
        <v>131</v>
      </c>
    </row>
    <row r="146" spans="1:8" x14ac:dyDescent="0.2">
      <c r="A146" s="5">
        <v>46054</v>
      </c>
      <c r="B146" t="s">
        <v>129</v>
      </c>
      <c r="C146" t="s">
        <v>114</v>
      </c>
      <c r="D146" t="s">
        <v>79</v>
      </c>
      <c r="F146" s="6">
        <v>5805</v>
      </c>
      <c r="G146" t="s">
        <v>46</v>
      </c>
      <c r="H146" t="s">
        <v>131</v>
      </c>
    </row>
    <row r="147" spans="1:8" x14ac:dyDescent="0.2">
      <c r="A147" s="5">
        <v>46054</v>
      </c>
      <c r="B147" t="s">
        <v>129</v>
      </c>
      <c r="C147" t="s">
        <v>114</v>
      </c>
      <c r="D147" t="s">
        <v>87</v>
      </c>
      <c r="F147" s="6">
        <v>3932</v>
      </c>
      <c r="G147" t="s">
        <v>46</v>
      </c>
      <c r="H147" t="s">
        <v>131</v>
      </c>
    </row>
    <row r="148" spans="1:8" x14ac:dyDescent="0.2">
      <c r="A148" s="5">
        <v>46054</v>
      </c>
      <c r="B148" t="s">
        <v>129</v>
      </c>
      <c r="C148" t="s">
        <v>114</v>
      </c>
      <c r="D148" t="s">
        <v>91</v>
      </c>
      <c r="F148" s="6">
        <v>2797</v>
      </c>
      <c r="G148" t="s">
        <v>46</v>
      </c>
      <c r="H148" t="s">
        <v>131</v>
      </c>
    </row>
    <row r="149" spans="1:8" x14ac:dyDescent="0.2">
      <c r="A149" s="5">
        <v>46054</v>
      </c>
      <c r="B149" t="s">
        <v>129</v>
      </c>
      <c r="C149" t="s">
        <v>118</v>
      </c>
      <c r="D149" t="s">
        <v>67</v>
      </c>
      <c r="F149" s="6">
        <v>220775</v>
      </c>
      <c r="G149" t="s">
        <v>46</v>
      </c>
      <c r="H149" t="s">
        <v>131</v>
      </c>
    </row>
    <row r="150" spans="1:8" x14ac:dyDescent="0.2">
      <c r="A150" s="5">
        <v>46054</v>
      </c>
      <c r="B150" t="s">
        <v>129</v>
      </c>
      <c r="C150" t="s">
        <v>118</v>
      </c>
      <c r="D150" t="s">
        <v>71</v>
      </c>
      <c r="F150" s="6">
        <v>47181</v>
      </c>
      <c r="G150" t="s">
        <v>46</v>
      </c>
      <c r="H150" t="s">
        <v>131</v>
      </c>
    </row>
    <row r="151" spans="1:8" x14ac:dyDescent="0.2">
      <c r="A151" s="5">
        <v>46054</v>
      </c>
      <c r="B151" t="s">
        <v>129</v>
      </c>
      <c r="C151" t="s">
        <v>118</v>
      </c>
      <c r="D151" t="s">
        <v>75</v>
      </c>
      <c r="F151" s="6">
        <v>22162</v>
      </c>
      <c r="G151" t="s">
        <v>46</v>
      </c>
      <c r="H151" t="s">
        <v>131</v>
      </c>
    </row>
    <row r="152" spans="1:8" x14ac:dyDescent="0.2">
      <c r="A152" s="5">
        <v>46054</v>
      </c>
      <c r="B152" t="s">
        <v>129</v>
      </c>
      <c r="C152" t="s">
        <v>118</v>
      </c>
      <c r="D152" t="s">
        <v>76</v>
      </c>
      <c r="F152" s="6">
        <v>14258</v>
      </c>
      <c r="G152" t="s">
        <v>46</v>
      </c>
      <c r="H152" t="s">
        <v>131</v>
      </c>
    </row>
    <row r="153" spans="1:8" x14ac:dyDescent="0.2">
      <c r="A153" s="5">
        <v>46054</v>
      </c>
      <c r="B153" t="s">
        <v>129</v>
      </c>
      <c r="C153" t="s">
        <v>118</v>
      </c>
      <c r="D153" t="s">
        <v>79</v>
      </c>
      <c r="F153" s="6">
        <v>8807</v>
      </c>
      <c r="G153" t="s">
        <v>46</v>
      </c>
      <c r="H153" t="s">
        <v>131</v>
      </c>
    </row>
    <row r="154" spans="1:8" x14ac:dyDescent="0.2">
      <c r="A154" s="5">
        <v>46054</v>
      </c>
      <c r="B154" t="s">
        <v>129</v>
      </c>
      <c r="C154" t="s">
        <v>118</v>
      </c>
      <c r="D154" t="s">
        <v>83</v>
      </c>
      <c r="F154" s="6">
        <v>136233</v>
      </c>
      <c r="G154" t="s">
        <v>46</v>
      </c>
      <c r="H154" t="s">
        <v>131</v>
      </c>
    </row>
    <row r="155" spans="1:8" x14ac:dyDescent="0.2">
      <c r="A155" s="5">
        <v>46054</v>
      </c>
      <c r="B155" t="s">
        <v>129</v>
      </c>
      <c r="C155" t="s">
        <v>118</v>
      </c>
      <c r="D155" t="s">
        <v>85</v>
      </c>
      <c r="F155" s="6">
        <v>74788</v>
      </c>
      <c r="G155" t="s">
        <v>46</v>
      </c>
      <c r="H155" t="s">
        <v>131</v>
      </c>
    </row>
    <row r="156" spans="1:8" x14ac:dyDescent="0.2">
      <c r="A156" s="5">
        <v>46054</v>
      </c>
      <c r="B156" t="s">
        <v>129</v>
      </c>
      <c r="C156" t="s">
        <v>118</v>
      </c>
      <c r="D156" t="s">
        <v>87</v>
      </c>
      <c r="F156" s="6">
        <v>6601</v>
      </c>
      <c r="G156" t="s">
        <v>46</v>
      </c>
      <c r="H156" t="s">
        <v>131</v>
      </c>
    </row>
    <row r="157" spans="1:8" x14ac:dyDescent="0.2">
      <c r="A157" s="5">
        <v>46054</v>
      </c>
      <c r="B157" t="s">
        <v>129</v>
      </c>
      <c r="C157" t="s">
        <v>118</v>
      </c>
      <c r="D157" t="s">
        <v>91</v>
      </c>
      <c r="F157" s="6">
        <v>4388</v>
      </c>
      <c r="G157" t="s">
        <v>46</v>
      </c>
      <c r="H157" t="s">
        <v>131</v>
      </c>
    </row>
    <row r="158" spans="1:8" x14ac:dyDescent="0.2">
      <c r="A158" s="5">
        <v>46054</v>
      </c>
      <c r="B158" t="s">
        <v>134</v>
      </c>
      <c r="C158" t="s">
        <v>122</v>
      </c>
      <c r="D158" t="s">
        <v>54</v>
      </c>
      <c r="E158" t="s">
        <v>130</v>
      </c>
      <c r="F158" s="6">
        <v>573383</v>
      </c>
      <c r="G158" t="s">
        <v>135</v>
      </c>
      <c r="H158" t="s">
        <v>131</v>
      </c>
    </row>
    <row r="159" spans="1:8" x14ac:dyDescent="0.2">
      <c r="A159" s="5">
        <v>46054</v>
      </c>
      <c r="B159" t="s">
        <v>134</v>
      </c>
      <c r="C159" t="s">
        <v>122</v>
      </c>
      <c r="D159" t="s">
        <v>54</v>
      </c>
      <c r="E159" t="s">
        <v>132</v>
      </c>
      <c r="F159" s="6">
        <v>311709</v>
      </c>
      <c r="G159" t="s">
        <v>135</v>
      </c>
      <c r="H159" t="s">
        <v>131</v>
      </c>
    </row>
    <row r="160" spans="1:8" x14ac:dyDescent="0.2">
      <c r="A160" s="5">
        <v>46054</v>
      </c>
      <c r="B160" t="s">
        <v>134</v>
      </c>
      <c r="C160" t="s">
        <v>122</v>
      </c>
      <c r="D160" t="s">
        <v>58</v>
      </c>
      <c r="E160" t="s">
        <v>133</v>
      </c>
      <c r="F160" s="6">
        <v>87345</v>
      </c>
      <c r="G160" t="s">
        <v>135</v>
      </c>
      <c r="H160" t="s">
        <v>131</v>
      </c>
    </row>
    <row r="161" spans="1:8" x14ac:dyDescent="0.2">
      <c r="A161" s="5">
        <v>46054</v>
      </c>
      <c r="B161" t="s">
        <v>134</v>
      </c>
      <c r="C161" t="s">
        <v>97</v>
      </c>
      <c r="D161" t="s">
        <v>67</v>
      </c>
      <c r="F161" s="6">
        <v>105786</v>
      </c>
      <c r="G161" t="s">
        <v>135</v>
      </c>
      <c r="H161" t="s">
        <v>131</v>
      </c>
    </row>
    <row r="162" spans="1:8" x14ac:dyDescent="0.2">
      <c r="A162" s="5">
        <v>46054</v>
      </c>
      <c r="B162" t="s">
        <v>134</v>
      </c>
      <c r="C162" t="s">
        <v>97</v>
      </c>
      <c r="D162" t="s">
        <v>71</v>
      </c>
      <c r="F162" s="6">
        <v>23201</v>
      </c>
      <c r="G162" t="s">
        <v>135</v>
      </c>
      <c r="H162" t="s">
        <v>131</v>
      </c>
    </row>
    <row r="163" spans="1:8" x14ac:dyDescent="0.2">
      <c r="A163" s="5">
        <v>46054</v>
      </c>
      <c r="B163" t="s">
        <v>134</v>
      </c>
      <c r="C163" t="s">
        <v>97</v>
      </c>
      <c r="D163" t="s">
        <v>73</v>
      </c>
      <c r="F163" s="6">
        <v>37165</v>
      </c>
      <c r="G163" t="s">
        <v>135</v>
      </c>
      <c r="H163" t="s">
        <v>131</v>
      </c>
    </row>
    <row r="164" spans="1:8" x14ac:dyDescent="0.2">
      <c r="A164" s="5">
        <v>46054</v>
      </c>
      <c r="B164" t="s">
        <v>134</v>
      </c>
      <c r="C164" t="s">
        <v>97</v>
      </c>
      <c r="D164" t="s">
        <v>75</v>
      </c>
      <c r="F164" s="6">
        <v>10864</v>
      </c>
      <c r="G164" t="s">
        <v>135</v>
      </c>
      <c r="H164" t="s">
        <v>131</v>
      </c>
    </row>
    <row r="165" spans="1:8" x14ac:dyDescent="0.2">
      <c r="A165" s="5">
        <v>46054</v>
      </c>
      <c r="B165" t="s">
        <v>134</v>
      </c>
      <c r="C165" t="s">
        <v>97</v>
      </c>
      <c r="D165" t="s">
        <v>76</v>
      </c>
      <c r="F165" s="6">
        <v>6675</v>
      </c>
      <c r="G165" t="s">
        <v>135</v>
      </c>
      <c r="H165" t="s">
        <v>131</v>
      </c>
    </row>
    <row r="166" spans="1:8" x14ac:dyDescent="0.2">
      <c r="A166" s="5">
        <v>46054</v>
      </c>
      <c r="B166" t="s">
        <v>134</v>
      </c>
      <c r="C166" t="s">
        <v>97</v>
      </c>
      <c r="D166" t="s">
        <v>79</v>
      </c>
      <c r="F166" s="6">
        <v>8522</v>
      </c>
      <c r="G166" t="s">
        <v>135</v>
      </c>
      <c r="H166" t="s">
        <v>131</v>
      </c>
    </row>
    <row r="167" spans="1:8" x14ac:dyDescent="0.2">
      <c r="A167" s="5">
        <v>46054</v>
      </c>
      <c r="B167" t="s">
        <v>134</v>
      </c>
      <c r="C167" t="s">
        <v>97</v>
      </c>
      <c r="D167" t="s">
        <v>87</v>
      </c>
      <c r="F167" s="6">
        <v>3046</v>
      </c>
      <c r="G167" t="s">
        <v>135</v>
      </c>
      <c r="H167" t="s">
        <v>131</v>
      </c>
    </row>
    <row r="168" spans="1:8" x14ac:dyDescent="0.2">
      <c r="A168" s="5">
        <v>46054</v>
      </c>
      <c r="B168" t="s">
        <v>134</v>
      </c>
      <c r="C168" t="s">
        <v>97</v>
      </c>
      <c r="D168" t="s">
        <v>91</v>
      </c>
      <c r="F168" s="6">
        <v>2294</v>
      </c>
      <c r="G168" t="s">
        <v>135</v>
      </c>
      <c r="H168" t="s">
        <v>131</v>
      </c>
    </row>
    <row r="169" spans="1:8" x14ac:dyDescent="0.2">
      <c r="A169" s="5">
        <v>46054</v>
      </c>
      <c r="B169" t="s">
        <v>134</v>
      </c>
      <c r="C169" t="s">
        <v>102</v>
      </c>
      <c r="D169" t="s">
        <v>67</v>
      </c>
      <c r="F169" s="6">
        <v>49640</v>
      </c>
      <c r="G169" t="s">
        <v>135</v>
      </c>
      <c r="H169" t="s">
        <v>131</v>
      </c>
    </row>
    <row r="170" spans="1:8" x14ac:dyDescent="0.2">
      <c r="A170" s="5">
        <v>46054</v>
      </c>
      <c r="B170" t="s">
        <v>134</v>
      </c>
      <c r="C170" t="s">
        <v>102</v>
      </c>
      <c r="D170" t="s">
        <v>71</v>
      </c>
      <c r="F170" s="6">
        <v>10840</v>
      </c>
      <c r="G170" t="s">
        <v>135</v>
      </c>
      <c r="H170" t="s">
        <v>131</v>
      </c>
    </row>
    <row r="171" spans="1:8" x14ac:dyDescent="0.2">
      <c r="A171" s="5">
        <v>46054</v>
      </c>
      <c r="B171" t="s">
        <v>134</v>
      </c>
      <c r="C171" t="s">
        <v>102</v>
      </c>
      <c r="D171" t="s">
        <v>75</v>
      </c>
      <c r="F171" s="6">
        <v>4689</v>
      </c>
      <c r="G171" t="s">
        <v>135</v>
      </c>
      <c r="H171" t="s">
        <v>131</v>
      </c>
    </row>
    <row r="172" spans="1:8" x14ac:dyDescent="0.2">
      <c r="A172" s="5">
        <v>46054</v>
      </c>
      <c r="B172" t="s">
        <v>134</v>
      </c>
      <c r="C172" t="s">
        <v>102</v>
      </c>
      <c r="D172" t="s">
        <v>76</v>
      </c>
      <c r="F172" s="6">
        <v>2962</v>
      </c>
      <c r="G172" t="s">
        <v>135</v>
      </c>
      <c r="H172" t="s">
        <v>131</v>
      </c>
    </row>
    <row r="173" spans="1:8" x14ac:dyDescent="0.2">
      <c r="A173" s="5">
        <v>46054</v>
      </c>
      <c r="B173" t="s">
        <v>134</v>
      </c>
      <c r="C173" t="s">
        <v>102</v>
      </c>
      <c r="D173" t="s">
        <v>79</v>
      </c>
      <c r="F173" s="6">
        <v>3942</v>
      </c>
      <c r="G173" t="s">
        <v>135</v>
      </c>
      <c r="H173" t="s">
        <v>131</v>
      </c>
    </row>
    <row r="174" spans="1:8" x14ac:dyDescent="0.2">
      <c r="A174" s="5">
        <v>46054</v>
      </c>
      <c r="B174" t="s">
        <v>134</v>
      </c>
      <c r="C174" t="s">
        <v>102</v>
      </c>
      <c r="D174" t="s">
        <v>81</v>
      </c>
      <c r="F174" s="6">
        <v>67485</v>
      </c>
      <c r="G174" t="s">
        <v>135</v>
      </c>
      <c r="H174" t="s">
        <v>131</v>
      </c>
    </row>
    <row r="175" spans="1:8" x14ac:dyDescent="0.2">
      <c r="A175" s="5">
        <v>46054</v>
      </c>
      <c r="B175" t="s">
        <v>134</v>
      </c>
      <c r="C175" t="s">
        <v>102</v>
      </c>
      <c r="D175" t="s">
        <v>87</v>
      </c>
      <c r="F175" s="6">
        <v>1470</v>
      </c>
      <c r="G175" t="s">
        <v>135</v>
      </c>
      <c r="H175" t="s">
        <v>131</v>
      </c>
    </row>
    <row r="176" spans="1:8" x14ac:dyDescent="0.2">
      <c r="A176" s="5">
        <v>46054</v>
      </c>
      <c r="B176" t="s">
        <v>134</v>
      </c>
      <c r="C176" t="s">
        <v>102</v>
      </c>
      <c r="D176" t="s">
        <v>91</v>
      </c>
      <c r="F176" s="6">
        <v>995</v>
      </c>
      <c r="G176" t="s">
        <v>135</v>
      </c>
      <c r="H176" t="s">
        <v>131</v>
      </c>
    </row>
    <row r="177" spans="1:8" x14ac:dyDescent="0.2">
      <c r="A177" s="5">
        <v>46054</v>
      </c>
      <c r="B177" t="s">
        <v>134</v>
      </c>
      <c r="C177" t="s">
        <v>106</v>
      </c>
      <c r="D177" t="s">
        <v>65</v>
      </c>
      <c r="F177" s="6">
        <v>22260</v>
      </c>
      <c r="G177" t="s">
        <v>135</v>
      </c>
      <c r="H177" t="s">
        <v>131</v>
      </c>
    </row>
    <row r="178" spans="1:8" x14ac:dyDescent="0.2">
      <c r="A178" s="5">
        <v>46054</v>
      </c>
      <c r="B178" t="s">
        <v>134</v>
      </c>
      <c r="C178" t="s">
        <v>106</v>
      </c>
      <c r="D178" t="s">
        <v>67</v>
      </c>
      <c r="F178" s="6">
        <v>62560</v>
      </c>
      <c r="G178" t="s">
        <v>135</v>
      </c>
      <c r="H178" t="s">
        <v>131</v>
      </c>
    </row>
    <row r="179" spans="1:8" x14ac:dyDescent="0.2">
      <c r="A179" s="5">
        <v>46054</v>
      </c>
      <c r="B179" t="s">
        <v>134</v>
      </c>
      <c r="C179" t="s">
        <v>106</v>
      </c>
      <c r="D179" t="s">
        <v>71</v>
      </c>
      <c r="F179" s="6">
        <v>11253</v>
      </c>
      <c r="G179" t="s">
        <v>135</v>
      </c>
      <c r="H179" t="s">
        <v>131</v>
      </c>
    </row>
    <row r="180" spans="1:8" x14ac:dyDescent="0.2">
      <c r="A180" s="5">
        <v>46054</v>
      </c>
      <c r="B180" t="s">
        <v>134</v>
      </c>
      <c r="C180" t="s">
        <v>106</v>
      </c>
      <c r="D180" t="s">
        <v>75</v>
      </c>
      <c r="F180" s="6">
        <v>5600</v>
      </c>
      <c r="G180" t="s">
        <v>135</v>
      </c>
      <c r="H180" t="s">
        <v>131</v>
      </c>
    </row>
    <row r="181" spans="1:8" x14ac:dyDescent="0.2">
      <c r="A181" s="5">
        <v>46054</v>
      </c>
      <c r="B181" t="s">
        <v>134</v>
      </c>
      <c r="C181" t="s">
        <v>106</v>
      </c>
      <c r="D181" t="s">
        <v>76</v>
      </c>
      <c r="F181" s="6">
        <v>3024</v>
      </c>
      <c r="G181" t="s">
        <v>135</v>
      </c>
      <c r="H181" t="s">
        <v>131</v>
      </c>
    </row>
    <row r="182" spans="1:8" x14ac:dyDescent="0.2">
      <c r="A182" s="5">
        <v>46054</v>
      </c>
      <c r="B182" t="s">
        <v>134</v>
      </c>
      <c r="C182" t="s">
        <v>106</v>
      </c>
      <c r="D182" t="s">
        <v>79</v>
      </c>
      <c r="F182" s="6">
        <v>2238</v>
      </c>
      <c r="G182" t="s">
        <v>135</v>
      </c>
      <c r="H182" t="s">
        <v>131</v>
      </c>
    </row>
    <row r="183" spans="1:8" x14ac:dyDescent="0.2">
      <c r="A183" s="5">
        <v>46054</v>
      </c>
      <c r="B183" t="s">
        <v>134</v>
      </c>
      <c r="C183" t="s">
        <v>106</v>
      </c>
      <c r="D183" t="s">
        <v>87</v>
      </c>
      <c r="F183" s="6">
        <v>1645</v>
      </c>
      <c r="G183" t="s">
        <v>135</v>
      </c>
      <c r="H183" t="s">
        <v>131</v>
      </c>
    </row>
    <row r="184" spans="1:8" x14ac:dyDescent="0.2">
      <c r="A184" s="5">
        <v>46054</v>
      </c>
      <c r="B184" t="s">
        <v>134</v>
      </c>
      <c r="C184" t="s">
        <v>106</v>
      </c>
      <c r="D184" t="s">
        <v>91</v>
      </c>
      <c r="F184" s="6">
        <v>1067</v>
      </c>
      <c r="G184" t="s">
        <v>135</v>
      </c>
      <c r="H184" t="s">
        <v>131</v>
      </c>
    </row>
    <row r="185" spans="1:8" x14ac:dyDescent="0.2">
      <c r="A185" s="5">
        <v>46054</v>
      </c>
      <c r="B185" t="s">
        <v>134</v>
      </c>
      <c r="C185" t="s">
        <v>110</v>
      </c>
      <c r="D185" t="s">
        <v>61</v>
      </c>
      <c r="F185" s="6">
        <v>176924</v>
      </c>
      <c r="G185" t="s">
        <v>135</v>
      </c>
      <c r="H185" t="s">
        <v>131</v>
      </c>
    </row>
    <row r="186" spans="1:8" x14ac:dyDescent="0.2">
      <c r="A186" s="5">
        <v>46054</v>
      </c>
      <c r="B186" t="s">
        <v>134</v>
      </c>
      <c r="C186" t="s">
        <v>110</v>
      </c>
      <c r="D186" t="s">
        <v>67</v>
      </c>
      <c r="F186" s="6">
        <v>165833</v>
      </c>
      <c r="G186" t="s">
        <v>135</v>
      </c>
      <c r="H186" t="s">
        <v>131</v>
      </c>
    </row>
    <row r="187" spans="1:8" x14ac:dyDescent="0.2">
      <c r="A187" s="5">
        <v>46054</v>
      </c>
      <c r="B187" t="s">
        <v>134</v>
      </c>
      <c r="C187" t="s">
        <v>110</v>
      </c>
      <c r="D187" t="s">
        <v>71</v>
      </c>
      <c r="F187" s="6">
        <v>35088</v>
      </c>
      <c r="G187" t="s">
        <v>135</v>
      </c>
      <c r="H187" t="s">
        <v>131</v>
      </c>
    </row>
    <row r="188" spans="1:8" x14ac:dyDescent="0.2">
      <c r="A188" s="5">
        <v>46054</v>
      </c>
      <c r="B188" t="s">
        <v>134</v>
      </c>
      <c r="C188" t="s">
        <v>110</v>
      </c>
      <c r="D188" t="s">
        <v>75</v>
      </c>
      <c r="F188" s="6">
        <v>16899</v>
      </c>
      <c r="G188" t="s">
        <v>135</v>
      </c>
      <c r="H188" t="s">
        <v>131</v>
      </c>
    </row>
    <row r="189" spans="1:8" x14ac:dyDescent="0.2">
      <c r="A189" s="5">
        <v>46054</v>
      </c>
      <c r="B189" t="s">
        <v>134</v>
      </c>
      <c r="C189" t="s">
        <v>110</v>
      </c>
      <c r="D189" t="s">
        <v>76</v>
      </c>
      <c r="F189" s="6">
        <v>10020</v>
      </c>
      <c r="G189" t="s">
        <v>135</v>
      </c>
      <c r="H189" t="s">
        <v>131</v>
      </c>
    </row>
    <row r="190" spans="1:8" x14ac:dyDescent="0.2">
      <c r="A190" s="5">
        <v>46054</v>
      </c>
      <c r="B190" t="s">
        <v>134</v>
      </c>
      <c r="C190" t="s">
        <v>110</v>
      </c>
      <c r="D190" t="s">
        <v>79</v>
      </c>
      <c r="F190" s="6">
        <v>6286</v>
      </c>
      <c r="G190" t="s">
        <v>135</v>
      </c>
      <c r="H190" t="s">
        <v>131</v>
      </c>
    </row>
    <row r="191" spans="1:8" x14ac:dyDescent="0.2">
      <c r="A191" s="5">
        <v>46054</v>
      </c>
      <c r="B191" t="s">
        <v>134</v>
      </c>
      <c r="C191" t="s">
        <v>110</v>
      </c>
      <c r="D191" t="s">
        <v>87</v>
      </c>
      <c r="F191" s="6">
        <v>5407</v>
      </c>
      <c r="G191" t="s">
        <v>135</v>
      </c>
      <c r="H191" t="s">
        <v>131</v>
      </c>
    </row>
    <row r="192" spans="1:8" x14ac:dyDescent="0.2">
      <c r="A192" s="5">
        <v>46054</v>
      </c>
      <c r="B192" t="s">
        <v>134</v>
      </c>
      <c r="C192" t="s">
        <v>110</v>
      </c>
      <c r="D192" t="s">
        <v>89</v>
      </c>
      <c r="F192" s="6">
        <v>28471</v>
      </c>
      <c r="G192" t="s">
        <v>135</v>
      </c>
      <c r="H192" t="s">
        <v>131</v>
      </c>
    </row>
    <row r="193" spans="1:8" x14ac:dyDescent="0.2">
      <c r="A193" s="5">
        <v>46054</v>
      </c>
      <c r="B193" t="s">
        <v>134</v>
      </c>
      <c r="C193" t="s">
        <v>110</v>
      </c>
      <c r="D193" t="s">
        <v>91</v>
      </c>
      <c r="F193" s="6">
        <v>3334</v>
      </c>
      <c r="G193" t="s">
        <v>135</v>
      </c>
      <c r="H193" t="s">
        <v>131</v>
      </c>
    </row>
    <row r="194" spans="1:8" x14ac:dyDescent="0.2">
      <c r="A194" s="5">
        <v>46054</v>
      </c>
      <c r="B194" t="s">
        <v>134</v>
      </c>
      <c r="C194" t="s">
        <v>114</v>
      </c>
      <c r="D194" t="s">
        <v>67</v>
      </c>
      <c r="F194" s="6">
        <v>41854</v>
      </c>
      <c r="G194" t="s">
        <v>135</v>
      </c>
      <c r="H194" t="s">
        <v>131</v>
      </c>
    </row>
    <row r="195" spans="1:8" x14ac:dyDescent="0.2">
      <c r="A195" s="5">
        <v>46054</v>
      </c>
      <c r="B195" t="s">
        <v>134</v>
      </c>
      <c r="C195" t="s">
        <v>114</v>
      </c>
      <c r="D195" t="s">
        <v>71</v>
      </c>
      <c r="F195" s="6">
        <v>10579</v>
      </c>
      <c r="G195" t="s">
        <v>135</v>
      </c>
      <c r="H195" t="s">
        <v>131</v>
      </c>
    </row>
    <row r="196" spans="1:8" x14ac:dyDescent="0.2">
      <c r="A196" s="5">
        <v>46054</v>
      </c>
      <c r="B196" t="s">
        <v>134</v>
      </c>
      <c r="C196" t="s">
        <v>114</v>
      </c>
      <c r="D196" t="s">
        <v>75</v>
      </c>
      <c r="F196" s="6">
        <v>4576</v>
      </c>
      <c r="G196" t="s">
        <v>135</v>
      </c>
      <c r="H196" t="s">
        <v>131</v>
      </c>
    </row>
    <row r="197" spans="1:8" x14ac:dyDescent="0.2">
      <c r="A197" s="5">
        <v>46054</v>
      </c>
      <c r="B197" t="s">
        <v>134</v>
      </c>
      <c r="C197" t="s">
        <v>114</v>
      </c>
      <c r="D197" t="s">
        <v>76</v>
      </c>
      <c r="F197" s="6">
        <v>2800</v>
      </c>
      <c r="G197" t="s">
        <v>135</v>
      </c>
      <c r="H197" t="s">
        <v>131</v>
      </c>
    </row>
    <row r="198" spans="1:8" x14ac:dyDescent="0.2">
      <c r="A198" s="5">
        <v>46054</v>
      </c>
      <c r="B198" t="s">
        <v>134</v>
      </c>
      <c r="C198" t="s">
        <v>114</v>
      </c>
      <c r="D198" t="s">
        <v>79</v>
      </c>
      <c r="F198" s="6">
        <v>1873</v>
      </c>
      <c r="G198" t="s">
        <v>135</v>
      </c>
      <c r="H198" t="s">
        <v>131</v>
      </c>
    </row>
    <row r="199" spans="1:8" x14ac:dyDescent="0.2">
      <c r="A199" s="5">
        <v>46054</v>
      </c>
      <c r="B199" t="s">
        <v>134</v>
      </c>
      <c r="C199" t="s">
        <v>114</v>
      </c>
      <c r="D199" t="s">
        <v>87</v>
      </c>
      <c r="F199" s="6">
        <v>1301</v>
      </c>
      <c r="G199" t="s">
        <v>135</v>
      </c>
      <c r="H199" t="s">
        <v>131</v>
      </c>
    </row>
    <row r="200" spans="1:8" x14ac:dyDescent="0.2">
      <c r="A200" s="5">
        <v>46054</v>
      </c>
      <c r="B200" t="s">
        <v>134</v>
      </c>
      <c r="C200" t="s">
        <v>114</v>
      </c>
      <c r="D200" t="s">
        <v>91</v>
      </c>
      <c r="F200" s="6">
        <v>889</v>
      </c>
      <c r="G200" t="s">
        <v>135</v>
      </c>
      <c r="H200" t="s">
        <v>131</v>
      </c>
    </row>
    <row r="201" spans="1:8" x14ac:dyDescent="0.2">
      <c r="A201" s="5">
        <v>46054</v>
      </c>
      <c r="B201" t="s">
        <v>134</v>
      </c>
      <c r="C201" t="s">
        <v>118</v>
      </c>
      <c r="D201" t="s">
        <v>67</v>
      </c>
      <c r="F201" s="6">
        <v>74378</v>
      </c>
      <c r="G201" t="s">
        <v>135</v>
      </c>
      <c r="H201" t="s">
        <v>131</v>
      </c>
    </row>
    <row r="202" spans="1:8" x14ac:dyDescent="0.2">
      <c r="A202" s="5">
        <v>46054</v>
      </c>
      <c r="B202" t="s">
        <v>134</v>
      </c>
      <c r="C202" t="s">
        <v>118</v>
      </c>
      <c r="D202" t="s">
        <v>71</v>
      </c>
      <c r="F202" s="6">
        <v>15741</v>
      </c>
      <c r="G202" t="s">
        <v>135</v>
      </c>
      <c r="H202" t="s">
        <v>131</v>
      </c>
    </row>
    <row r="203" spans="1:8" x14ac:dyDescent="0.2">
      <c r="A203" s="5">
        <v>46054</v>
      </c>
      <c r="B203" t="s">
        <v>134</v>
      </c>
      <c r="C203" t="s">
        <v>118</v>
      </c>
      <c r="D203" t="s">
        <v>75</v>
      </c>
      <c r="F203" s="6">
        <v>7640</v>
      </c>
      <c r="G203" t="s">
        <v>135</v>
      </c>
      <c r="H203" t="s">
        <v>131</v>
      </c>
    </row>
    <row r="204" spans="1:8" x14ac:dyDescent="0.2">
      <c r="A204" s="5">
        <v>46054</v>
      </c>
      <c r="B204" t="s">
        <v>134</v>
      </c>
      <c r="C204" t="s">
        <v>118</v>
      </c>
      <c r="D204" t="s">
        <v>76</v>
      </c>
      <c r="F204" s="6">
        <v>4252</v>
      </c>
      <c r="G204" t="s">
        <v>135</v>
      </c>
      <c r="H204" t="s">
        <v>131</v>
      </c>
    </row>
    <row r="205" spans="1:8" x14ac:dyDescent="0.2">
      <c r="A205" s="5">
        <v>46054</v>
      </c>
      <c r="B205" t="s">
        <v>134</v>
      </c>
      <c r="C205" t="s">
        <v>118</v>
      </c>
      <c r="D205" t="s">
        <v>79</v>
      </c>
      <c r="F205" s="6">
        <v>3019</v>
      </c>
      <c r="G205" t="s">
        <v>135</v>
      </c>
      <c r="H205" t="s">
        <v>131</v>
      </c>
    </row>
    <row r="206" spans="1:8" x14ac:dyDescent="0.2">
      <c r="A206" s="5">
        <v>46054</v>
      </c>
      <c r="B206" t="s">
        <v>134</v>
      </c>
      <c r="C206" t="s">
        <v>118</v>
      </c>
      <c r="D206" t="s">
        <v>83</v>
      </c>
      <c r="F206" s="6">
        <v>43927</v>
      </c>
      <c r="G206" t="s">
        <v>135</v>
      </c>
      <c r="H206" t="s">
        <v>131</v>
      </c>
    </row>
    <row r="207" spans="1:8" x14ac:dyDescent="0.2">
      <c r="A207" s="5">
        <v>46054</v>
      </c>
      <c r="B207" t="s">
        <v>134</v>
      </c>
      <c r="C207" t="s">
        <v>118</v>
      </c>
      <c r="D207" t="s">
        <v>85</v>
      </c>
      <c r="F207" s="6">
        <v>22412</v>
      </c>
      <c r="G207" t="s">
        <v>135</v>
      </c>
      <c r="H207" t="s">
        <v>131</v>
      </c>
    </row>
    <row r="208" spans="1:8" x14ac:dyDescent="0.2">
      <c r="A208" s="5">
        <v>46054</v>
      </c>
      <c r="B208" t="s">
        <v>134</v>
      </c>
      <c r="C208" t="s">
        <v>118</v>
      </c>
      <c r="D208" t="s">
        <v>87</v>
      </c>
      <c r="F208" s="6">
        <v>2132</v>
      </c>
      <c r="G208" t="s">
        <v>135</v>
      </c>
      <c r="H208" t="s">
        <v>131</v>
      </c>
    </row>
    <row r="209" spans="1:8" x14ac:dyDescent="0.2">
      <c r="A209" s="5">
        <v>46054</v>
      </c>
      <c r="B209" t="s">
        <v>134</v>
      </c>
      <c r="C209" t="s">
        <v>118</v>
      </c>
      <c r="D209" t="s">
        <v>91</v>
      </c>
      <c r="F209" s="6">
        <v>1465</v>
      </c>
      <c r="G209" t="s">
        <v>135</v>
      </c>
      <c r="H209" t="s">
        <v>131</v>
      </c>
    </row>
    <row r="210" spans="1:8" x14ac:dyDescent="0.2">
      <c r="A210" s="5">
        <v>46082</v>
      </c>
      <c r="B210" t="s">
        <v>129</v>
      </c>
      <c r="C210" t="s">
        <v>122</v>
      </c>
      <c r="D210" t="s">
        <v>54</v>
      </c>
      <c r="E210" t="s">
        <v>130</v>
      </c>
      <c r="F210" s="6">
        <v>1811204</v>
      </c>
      <c r="G210" t="s">
        <v>46</v>
      </c>
      <c r="H210" t="s">
        <v>131</v>
      </c>
    </row>
    <row r="211" spans="1:8" x14ac:dyDescent="0.2">
      <c r="A211" s="5">
        <v>46082</v>
      </c>
      <c r="B211" t="s">
        <v>129</v>
      </c>
      <c r="C211" t="s">
        <v>122</v>
      </c>
      <c r="D211" t="s">
        <v>54</v>
      </c>
      <c r="E211" t="s">
        <v>132</v>
      </c>
      <c r="F211" s="6">
        <v>954135</v>
      </c>
      <c r="G211" t="s">
        <v>46</v>
      </c>
      <c r="H211" t="s">
        <v>131</v>
      </c>
    </row>
    <row r="212" spans="1:8" x14ac:dyDescent="0.2">
      <c r="A212" s="5">
        <v>46082</v>
      </c>
      <c r="B212" t="s">
        <v>129</v>
      </c>
      <c r="C212" t="s">
        <v>122</v>
      </c>
      <c r="D212" t="s">
        <v>58</v>
      </c>
      <c r="E212" t="s">
        <v>133</v>
      </c>
      <c r="F212" s="6">
        <v>280108</v>
      </c>
      <c r="G212" t="s">
        <v>46</v>
      </c>
      <c r="H212" t="s">
        <v>131</v>
      </c>
    </row>
    <row r="213" spans="1:8" x14ac:dyDescent="0.2">
      <c r="A213" s="5">
        <v>46082</v>
      </c>
      <c r="B213" t="s">
        <v>129</v>
      </c>
      <c r="C213" t="s">
        <v>97</v>
      </c>
      <c r="D213" t="s">
        <v>67</v>
      </c>
      <c r="F213" s="6">
        <v>332190</v>
      </c>
      <c r="G213" t="s">
        <v>46</v>
      </c>
      <c r="H213" t="s">
        <v>131</v>
      </c>
    </row>
    <row r="214" spans="1:8" x14ac:dyDescent="0.2">
      <c r="A214" s="5">
        <v>46082</v>
      </c>
      <c r="B214" t="s">
        <v>129</v>
      </c>
      <c r="C214" t="s">
        <v>97</v>
      </c>
      <c r="D214" t="s">
        <v>71</v>
      </c>
      <c r="F214" s="6">
        <v>70988</v>
      </c>
      <c r="G214" t="s">
        <v>46</v>
      </c>
      <c r="H214" t="s">
        <v>131</v>
      </c>
    </row>
    <row r="215" spans="1:8" x14ac:dyDescent="0.2">
      <c r="A215" s="5">
        <v>46082</v>
      </c>
      <c r="B215" t="s">
        <v>129</v>
      </c>
      <c r="C215" t="s">
        <v>97</v>
      </c>
      <c r="D215" t="s">
        <v>73</v>
      </c>
      <c r="F215" s="6">
        <v>114815</v>
      </c>
      <c r="G215" t="s">
        <v>46</v>
      </c>
      <c r="H215" t="s">
        <v>131</v>
      </c>
    </row>
    <row r="216" spans="1:8" x14ac:dyDescent="0.2">
      <c r="A216" s="5">
        <v>46082</v>
      </c>
      <c r="B216" t="s">
        <v>129</v>
      </c>
      <c r="C216" t="s">
        <v>97</v>
      </c>
      <c r="D216" t="s">
        <v>75</v>
      </c>
      <c r="F216" s="6">
        <v>33986</v>
      </c>
      <c r="G216" t="s">
        <v>46</v>
      </c>
      <c r="H216" t="s">
        <v>131</v>
      </c>
    </row>
    <row r="217" spans="1:8" x14ac:dyDescent="0.2">
      <c r="A217" s="5">
        <v>46082</v>
      </c>
      <c r="B217" t="s">
        <v>129</v>
      </c>
      <c r="C217" t="s">
        <v>97</v>
      </c>
      <c r="D217" t="s">
        <v>76</v>
      </c>
      <c r="F217" s="6">
        <v>20480</v>
      </c>
      <c r="G217" t="s">
        <v>46</v>
      </c>
      <c r="H217" t="s">
        <v>131</v>
      </c>
    </row>
    <row r="218" spans="1:8" x14ac:dyDescent="0.2">
      <c r="A218" s="5">
        <v>46082</v>
      </c>
      <c r="B218" t="s">
        <v>129</v>
      </c>
      <c r="C218" t="s">
        <v>97</v>
      </c>
      <c r="D218" t="s">
        <v>79</v>
      </c>
      <c r="F218" s="6">
        <v>27132</v>
      </c>
      <c r="G218" t="s">
        <v>46</v>
      </c>
      <c r="H218" t="s">
        <v>131</v>
      </c>
    </row>
    <row r="219" spans="1:8" x14ac:dyDescent="0.2">
      <c r="A219" s="5">
        <v>46082</v>
      </c>
      <c r="B219" t="s">
        <v>129</v>
      </c>
      <c r="C219" t="s">
        <v>97</v>
      </c>
      <c r="D219" t="s">
        <v>87</v>
      </c>
      <c r="F219" s="6">
        <v>10169</v>
      </c>
      <c r="G219" t="s">
        <v>46</v>
      </c>
      <c r="H219" t="s">
        <v>131</v>
      </c>
    </row>
    <row r="220" spans="1:8" x14ac:dyDescent="0.2">
      <c r="A220" s="5">
        <v>46082</v>
      </c>
      <c r="B220" t="s">
        <v>129</v>
      </c>
      <c r="C220" t="s">
        <v>97</v>
      </c>
      <c r="D220" t="s">
        <v>91</v>
      </c>
      <c r="F220" s="6">
        <v>7171</v>
      </c>
      <c r="G220" t="s">
        <v>46</v>
      </c>
      <c r="H220" t="s">
        <v>131</v>
      </c>
    </row>
    <row r="221" spans="1:8" x14ac:dyDescent="0.2">
      <c r="A221" s="5">
        <v>46082</v>
      </c>
      <c r="B221" t="s">
        <v>129</v>
      </c>
      <c r="C221" t="s">
        <v>102</v>
      </c>
      <c r="D221" t="s">
        <v>67</v>
      </c>
      <c r="F221" s="6">
        <v>150897</v>
      </c>
      <c r="G221" t="s">
        <v>46</v>
      </c>
      <c r="H221" t="s">
        <v>131</v>
      </c>
    </row>
    <row r="222" spans="1:8" x14ac:dyDescent="0.2">
      <c r="A222" s="5">
        <v>46082</v>
      </c>
      <c r="B222" t="s">
        <v>129</v>
      </c>
      <c r="C222" t="s">
        <v>102</v>
      </c>
      <c r="D222" t="s">
        <v>71</v>
      </c>
      <c r="F222" s="6">
        <v>32904</v>
      </c>
      <c r="G222" t="s">
        <v>46</v>
      </c>
      <c r="H222" t="s">
        <v>131</v>
      </c>
    </row>
    <row r="223" spans="1:8" x14ac:dyDescent="0.2">
      <c r="A223" s="5">
        <v>46082</v>
      </c>
      <c r="B223" t="s">
        <v>129</v>
      </c>
      <c r="C223" t="s">
        <v>102</v>
      </c>
      <c r="D223" t="s">
        <v>75</v>
      </c>
      <c r="F223" s="6">
        <v>15775</v>
      </c>
      <c r="G223" t="s">
        <v>46</v>
      </c>
      <c r="H223" t="s">
        <v>131</v>
      </c>
    </row>
    <row r="224" spans="1:8" x14ac:dyDescent="0.2">
      <c r="A224" s="5">
        <v>46082</v>
      </c>
      <c r="B224" t="s">
        <v>129</v>
      </c>
      <c r="C224" t="s">
        <v>102</v>
      </c>
      <c r="D224" t="s">
        <v>76</v>
      </c>
      <c r="F224" s="6">
        <v>9239</v>
      </c>
      <c r="G224" t="s">
        <v>46</v>
      </c>
      <c r="H224" t="s">
        <v>131</v>
      </c>
    </row>
    <row r="225" spans="1:8" x14ac:dyDescent="0.2">
      <c r="A225" s="5">
        <v>46082</v>
      </c>
      <c r="B225" t="s">
        <v>129</v>
      </c>
      <c r="C225" t="s">
        <v>102</v>
      </c>
      <c r="D225" t="s">
        <v>79</v>
      </c>
      <c r="F225" s="6">
        <v>12089</v>
      </c>
      <c r="G225" t="s">
        <v>46</v>
      </c>
      <c r="H225" t="s">
        <v>131</v>
      </c>
    </row>
    <row r="226" spans="1:8" x14ac:dyDescent="0.2">
      <c r="A226" s="5">
        <v>46082</v>
      </c>
      <c r="B226" t="s">
        <v>129</v>
      </c>
      <c r="C226" t="s">
        <v>102</v>
      </c>
      <c r="D226" t="s">
        <v>81</v>
      </c>
      <c r="F226" s="6">
        <v>200889</v>
      </c>
      <c r="G226" t="s">
        <v>46</v>
      </c>
      <c r="H226" t="s">
        <v>131</v>
      </c>
    </row>
    <row r="227" spans="1:8" x14ac:dyDescent="0.2">
      <c r="A227" s="5">
        <v>46082</v>
      </c>
      <c r="B227" t="s">
        <v>129</v>
      </c>
      <c r="C227" t="s">
        <v>102</v>
      </c>
      <c r="D227" t="s">
        <v>87</v>
      </c>
      <c r="F227" s="6">
        <v>4501</v>
      </c>
      <c r="G227" t="s">
        <v>46</v>
      </c>
      <c r="H227" t="s">
        <v>131</v>
      </c>
    </row>
    <row r="228" spans="1:8" x14ac:dyDescent="0.2">
      <c r="A228" s="5">
        <v>46082</v>
      </c>
      <c r="B228" t="s">
        <v>129</v>
      </c>
      <c r="C228" t="s">
        <v>102</v>
      </c>
      <c r="D228" t="s">
        <v>91</v>
      </c>
      <c r="F228" s="6">
        <v>3075</v>
      </c>
      <c r="G228" t="s">
        <v>46</v>
      </c>
      <c r="H228" t="s">
        <v>131</v>
      </c>
    </row>
    <row r="229" spans="1:8" x14ac:dyDescent="0.2">
      <c r="A229" s="5">
        <v>46082</v>
      </c>
      <c r="B229" t="s">
        <v>129</v>
      </c>
      <c r="C229" t="s">
        <v>106</v>
      </c>
      <c r="D229" t="s">
        <v>65</v>
      </c>
      <c r="F229" s="6">
        <v>70244</v>
      </c>
      <c r="G229" t="s">
        <v>46</v>
      </c>
      <c r="H229" t="s">
        <v>131</v>
      </c>
    </row>
    <row r="230" spans="1:8" x14ac:dyDescent="0.2">
      <c r="A230" s="5">
        <v>46082</v>
      </c>
      <c r="B230" t="s">
        <v>129</v>
      </c>
      <c r="C230" t="s">
        <v>106</v>
      </c>
      <c r="D230" t="s">
        <v>67</v>
      </c>
      <c r="F230" s="6">
        <v>164584</v>
      </c>
      <c r="G230" t="s">
        <v>46</v>
      </c>
      <c r="H230" t="s">
        <v>131</v>
      </c>
    </row>
    <row r="231" spans="1:8" x14ac:dyDescent="0.2">
      <c r="A231" s="5">
        <v>46082</v>
      </c>
      <c r="B231" t="s">
        <v>129</v>
      </c>
      <c r="C231" t="s">
        <v>106</v>
      </c>
      <c r="D231" t="s">
        <v>71</v>
      </c>
      <c r="F231" s="6">
        <v>33879</v>
      </c>
      <c r="G231" t="s">
        <v>46</v>
      </c>
      <c r="H231" t="s">
        <v>131</v>
      </c>
    </row>
    <row r="232" spans="1:8" x14ac:dyDescent="0.2">
      <c r="A232" s="5">
        <v>46082</v>
      </c>
      <c r="B232" t="s">
        <v>129</v>
      </c>
      <c r="C232" t="s">
        <v>106</v>
      </c>
      <c r="D232" t="s">
        <v>75</v>
      </c>
      <c r="F232" s="6">
        <v>18102</v>
      </c>
      <c r="G232" t="s">
        <v>46</v>
      </c>
      <c r="H232" t="s">
        <v>131</v>
      </c>
    </row>
    <row r="233" spans="1:8" x14ac:dyDescent="0.2">
      <c r="A233" s="5">
        <v>46082</v>
      </c>
      <c r="B233" t="s">
        <v>129</v>
      </c>
      <c r="C233" t="s">
        <v>106</v>
      </c>
      <c r="D233" t="s">
        <v>76</v>
      </c>
      <c r="F233" s="6">
        <v>10070</v>
      </c>
      <c r="G233" t="s">
        <v>46</v>
      </c>
      <c r="H233" t="s">
        <v>131</v>
      </c>
    </row>
    <row r="234" spans="1:8" x14ac:dyDescent="0.2">
      <c r="A234" s="5">
        <v>46082</v>
      </c>
      <c r="B234" t="s">
        <v>129</v>
      </c>
      <c r="C234" t="s">
        <v>106</v>
      </c>
      <c r="D234" t="s">
        <v>79</v>
      </c>
      <c r="F234" s="6">
        <v>6924</v>
      </c>
      <c r="G234" t="s">
        <v>46</v>
      </c>
      <c r="H234" t="s">
        <v>131</v>
      </c>
    </row>
    <row r="235" spans="1:8" x14ac:dyDescent="0.2">
      <c r="A235" s="5">
        <v>46082</v>
      </c>
      <c r="B235" t="s">
        <v>129</v>
      </c>
      <c r="C235" t="s">
        <v>106</v>
      </c>
      <c r="D235" t="s">
        <v>87</v>
      </c>
      <c r="F235" s="6">
        <v>4995</v>
      </c>
      <c r="G235" t="s">
        <v>46</v>
      </c>
      <c r="H235" t="s">
        <v>131</v>
      </c>
    </row>
    <row r="236" spans="1:8" x14ac:dyDescent="0.2">
      <c r="A236" s="5">
        <v>46082</v>
      </c>
      <c r="B236" t="s">
        <v>129</v>
      </c>
      <c r="C236" t="s">
        <v>106</v>
      </c>
      <c r="D236" t="s">
        <v>91</v>
      </c>
      <c r="F236" s="6">
        <v>3156</v>
      </c>
      <c r="G236" t="s">
        <v>46</v>
      </c>
      <c r="H236" t="s">
        <v>131</v>
      </c>
    </row>
    <row r="237" spans="1:8" x14ac:dyDescent="0.2">
      <c r="A237" s="5">
        <v>46082</v>
      </c>
      <c r="B237" t="s">
        <v>129</v>
      </c>
      <c r="C237" t="s">
        <v>110</v>
      </c>
      <c r="D237" t="s">
        <v>61</v>
      </c>
      <c r="F237" s="6">
        <v>496432</v>
      </c>
      <c r="G237" t="s">
        <v>46</v>
      </c>
      <c r="H237" t="s">
        <v>131</v>
      </c>
    </row>
    <row r="238" spans="1:8" x14ac:dyDescent="0.2">
      <c r="A238" s="5">
        <v>46082</v>
      </c>
      <c r="B238" t="s">
        <v>129</v>
      </c>
      <c r="C238" t="s">
        <v>110</v>
      </c>
      <c r="D238" t="s">
        <v>67</v>
      </c>
      <c r="F238" s="6">
        <v>496520</v>
      </c>
      <c r="G238" t="s">
        <v>46</v>
      </c>
      <c r="H238" t="s">
        <v>131</v>
      </c>
    </row>
    <row r="239" spans="1:8" x14ac:dyDescent="0.2">
      <c r="A239" s="5">
        <v>46082</v>
      </c>
      <c r="B239" t="s">
        <v>129</v>
      </c>
      <c r="C239" t="s">
        <v>110</v>
      </c>
      <c r="D239" t="s">
        <v>71</v>
      </c>
      <c r="F239" s="6">
        <v>112967</v>
      </c>
      <c r="G239" t="s">
        <v>46</v>
      </c>
      <c r="H239" t="s">
        <v>131</v>
      </c>
    </row>
    <row r="240" spans="1:8" x14ac:dyDescent="0.2">
      <c r="A240" s="5">
        <v>46082</v>
      </c>
      <c r="B240" t="s">
        <v>129</v>
      </c>
      <c r="C240" t="s">
        <v>110</v>
      </c>
      <c r="D240" t="s">
        <v>75</v>
      </c>
      <c r="F240" s="6">
        <v>52470</v>
      </c>
      <c r="G240" t="s">
        <v>46</v>
      </c>
      <c r="H240" t="s">
        <v>131</v>
      </c>
    </row>
    <row r="241" spans="1:8" x14ac:dyDescent="0.2">
      <c r="A241" s="5">
        <v>46082</v>
      </c>
      <c r="B241" t="s">
        <v>129</v>
      </c>
      <c r="C241" t="s">
        <v>110</v>
      </c>
      <c r="D241" t="s">
        <v>76</v>
      </c>
      <c r="F241" s="6">
        <v>31527</v>
      </c>
      <c r="G241" t="s">
        <v>46</v>
      </c>
      <c r="H241" t="s">
        <v>131</v>
      </c>
    </row>
    <row r="242" spans="1:8" x14ac:dyDescent="0.2">
      <c r="A242" s="5">
        <v>46082</v>
      </c>
      <c r="B242" t="s">
        <v>129</v>
      </c>
      <c r="C242" t="s">
        <v>110</v>
      </c>
      <c r="D242" t="s">
        <v>79</v>
      </c>
      <c r="F242" s="6">
        <v>20970</v>
      </c>
      <c r="G242" t="s">
        <v>46</v>
      </c>
      <c r="H242" t="s">
        <v>131</v>
      </c>
    </row>
    <row r="243" spans="1:8" x14ac:dyDescent="0.2">
      <c r="A243" s="5">
        <v>46082</v>
      </c>
      <c r="B243" t="s">
        <v>129</v>
      </c>
      <c r="C243" t="s">
        <v>110</v>
      </c>
      <c r="D243" t="s">
        <v>87</v>
      </c>
      <c r="F243" s="6">
        <v>16662</v>
      </c>
      <c r="G243" t="s">
        <v>46</v>
      </c>
      <c r="H243" t="s">
        <v>131</v>
      </c>
    </row>
    <row r="244" spans="1:8" x14ac:dyDescent="0.2">
      <c r="A244" s="5">
        <v>46082</v>
      </c>
      <c r="B244" t="s">
        <v>129</v>
      </c>
      <c r="C244" t="s">
        <v>110</v>
      </c>
      <c r="D244" t="s">
        <v>89</v>
      </c>
      <c r="F244" s="6">
        <v>89783</v>
      </c>
      <c r="G244" t="s">
        <v>46</v>
      </c>
      <c r="H244" t="s">
        <v>131</v>
      </c>
    </row>
    <row r="245" spans="1:8" x14ac:dyDescent="0.2">
      <c r="A245" s="5">
        <v>46082</v>
      </c>
      <c r="B245" t="s">
        <v>129</v>
      </c>
      <c r="C245" t="s">
        <v>110</v>
      </c>
      <c r="D245" t="s">
        <v>91</v>
      </c>
      <c r="F245" s="6">
        <v>10961</v>
      </c>
      <c r="G245" t="s">
        <v>46</v>
      </c>
      <c r="H245" t="s">
        <v>131</v>
      </c>
    </row>
    <row r="246" spans="1:8" x14ac:dyDescent="0.2">
      <c r="A246" s="5">
        <v>46082</v>
      </c>
      <c r="B246" t="s">
        <v>129</v>
      </c>
      <c r="C246" t="s">
        <v>114</v>
      </c>
      <c r="D246" t="s">
        <v>67</v>
      </c>
      <c r="F246" s="6">
        <v>143796</v>
      </c>
      <c r="G246" t="s">
        <v>46</v>
      </c>
      <c r="H246" t="s">
        <v>131</v>
      </c>
    </row>
    <row r="247" spans="1:8" x14ac:dyDescent="0.2">
      <c r="A247" s="5">
        <v>46082</v>
      </c>
      <c r="B247" t="s">
        <v>129</v>
      </c>
      <c r="C247" t="s">
        <v>114</v>
      </c>
      <c r="D247" t="s">
        <v>71</v>
      </c>
      <c r="F247" s="6">
        <v>29650</v>
      </c>
      <c r="G247" t="s">
        <v>46</v>
      </c>
      <c r="H247" t="s">
        <v>131</v>
      </c>
    </row>
    <row r="248" spans="1:8" x14ac:dyDescent="0.2">
      <c r="A248" s="5">
        <v>46082</v>
      </c>
      <c r="B248" t="s">
        <v>129</v>
      </c>
      <c r="C248" t="s">
        <v>114</v>
      </c>
      <c r="D248" t="s">
        <v>75</v>
      </c>
      <c r="F248" s="6">
        <v>13494</v>
      </c>
      <c r="G248" t="s">
        <v>46</v>
      </c>
      <c r="H248" t="s">
        <v>131</v>
      </c>
    </row>
    <row r="249" spans="1:8" x14ac:dyDescent="0.2">
      <c r="A249" s="5">
        <v>46082</v>
      </c>
      <c r="B249" t="s">
        <v>129</v>
      </c>
      <c r="C249" t="s">
        <v>114</v>
      </c>
      <c r="D249" t="s">
        <v>76</v>
      </c>
      <c r="F249" s="6">
        <v>8854</v>
      </c>
      <c r="G249" t="s">
        <v>46</v>
      </c>
      <c r="H249" t="s">
        <v>131</v>
      </c>
    </row>
    <row r="250" spans="1:8" x14ac:dyDescent="0.2">
      <c r="A250" s="5">
        <v>46082</v>
      </c>
      <c r="B250" t="s">
        <v>129</v>
      </c>
      <c r="C250" t="s">
        <v>114</v>
      </c>
      <c r="D250" t="s">
        <v>79</v>
      </c>
      <c r="F250" s="6">
        <v>5607</v>
      </c>
      <c r="G250" t="s">
        <v>46</v>
      </c>
      <c r="H250" t="s">
        <v>131</v>
      </c>
    </row>
    <row r="251" spans="1:8" x14ac:dyDescent="0.2">
      <c r="A251" s="5">
        <v>46082</v>
      </c>
      <c r="B251" t="s">
        <v>129</v>
      </c>
      <c r="C251" t="s">
        <v>114</v>
      </c>
      <c r="D251" t="s">
        <v>87</v>
      </c>
      <c r="F251" s="6">
        <v>4444</v>
      </c>
      <c r="G251" t="s">
        <v>46</v>
      </c>
      <c r="H251" t="s">
        <v>131</v>
      </c>
    </row>
    <row r="252" spans="1:8" x14ac:dyDescent="0.2">
      <c r="A252" s="5">
        <v>46082</v>
      </c>
      <c r="B252" t="s">
        <v>129</v>
      </c>
      <c r="C252" t="s">
        <v>114</v>
      </c>
      <c r="D252" t="s">
        <v>91</v>
      </c>
      <c r="F252" s="6">
        <v>2771</v>
      </c>
      <c r="G252" t="s">
        <v>46</v>
      </c>
      <c r="H252" t="s">
        <v>131</v>
      </c>
    </row>
    <row r="253" spans="1:8" x14ac:dyDescent="0.2">
      <c r="A253" s="5">
        <v>46082</v>
      </c>
      <c r="B253" t="s">
        <v>129</v>
      </c>
      <c r="C253" t="s">
        <v>118</v>
      </c>
      <c r="D253" t="s">
        <v>67</v>
      </c>
      <c r="F253" s="6">
        <v>208156</v>
      </c>
      <c r="G253" t="s">
        <v>46</v>
      </c>
      <c r="H253" t="s">
        <v>131</v>
      </c>
    </row>
    <row r="254" spans="1:8" x14ac:dyDescent="0.2">
      <c r="A254" s="5">
        <v>46082</v>
      </c>
      <c r="B254" t="s">
        <v>129</v>
      </c>
      <c r="C254" t="s">
        <v>118</v>
      </c>
      <c r="D254" t="s">
        <v>71</v>
      </c>
      <c r="F254" s="6">
        <v>47590</v>
      </c>
      <c r="G254" t="s">
        <v>46</v>
      </c>
      <c r="H254" t="s">
        <v>131</v>
      </c>
    </row>
    <row r="255" spans="1:8" x14ac:dyDescent="0.2">
      <c r="A255" s="5">
        <v>46082</v>
      </c>
      <c r="B255" t="s">
        <v>129</v>
      </c>
      <c r="C255" t="s">
        <v>118</v>
      </c>
      <c r="D255" t="s">
        <v>75</v>
      </c>
      <c r="F255" s="6">
        <v>22200</v>
      </c>
      <c r="G255" t="s">
        <v>46</v>
      </c>
      <c r="H255" t="s">
        <v>131</v>
      </c>
    </row>
    <row r="256" spans="1:8" x14ac:dyDescent="0.2">
      <c r="A256" s="5">
        <v>46082</v>
      </c>
      <c r="B256" t="s">
        <v>129</v>
      </c>
      <c r="C256" t="s">
        <v>118</v>
      </c>
      <c r="D256" t="s">
        <v>76</v>
      </c>
      <c r="F256" s="6">
        <v>12784</v>
      </c>
      <c r="G256" t="s">
        <v>46</v>
      </c>
      <c r="H256" t="s">
        <v>131</v>
      </c>
    </row>
    <row r="257" spans="1:8" x14ac:dyDescent="0.2">
      <c r="A257" s="5">
        <v>46082</v>
      </c>
      <c r="B257" t="s">
        <v>129</v>
      </c>
      <c r="C257" t="s">
        <v>118</v>
      </c>
      <c r="D257" t="s">
        <v>79</v>
      </c>
      <c r="F257" s="6">
        <v>9301</v>
      </c>
      <c r="G257" t="s">
        <v>46</v>
      </c>
      <c r="H257" t="s">
        <v>131</v>
      </c>
    </row>
    <row r="258" spans="1:8" x14ac:dyDescent="0.2">
      <c r="A258" s="5">
        <v>46082</v>
      </c>
      <c r="B258" t="s">
        <v>129</v>
      </c>
      <c r="C258" t="s">
        <v>118</v>
      </c>
      <c r="D258" t="s">
        <v>83</v>
      </c>
      <c r="F258" s="6">
        <v>130632</v>
      </c>
      <c r="G258" t="s">
        <v>46</v>
      </c>
      <c r="H258" t="s">
        <v>131</v>
      </c>
    </row>
    <row r="259" spans="1:8" x14ac:dyDescent="0.2">
      <c r="A259" s="5">
        <v>46082</v>
      </c>
      <c r="B259" t="s">
        <v>129</v>
      </c>
      <c r="C259" t="s">
        <v>118</v>
      </c>
      <c r="D259" t="s">
        <v>85</v>
      </c>
      <c r="F259" s="6">
        <v>71700</v>
      </c>
      <c r="G259" t="s">
        <v>46</v>
      </c>
      <c r="H259" t="s">
        <v>131</v>
      </c>
    </row>
    <row r="260" spans="1:8" x14ac:dyDescent="0.2">
      <c r="A260" s="5">
        <v>46082</v>
      </c>
      <c r="B260" t="s">
        <v>129</v>
      </c>
      <c r="C260" t="s">
        <v>118</v>
      </c>
      <c r="D260" t="s">
        <v>87</v>
      </c>
      <c r="F260" s="6">
        <v>6453</v>
      </c>
      <c r="G260" t="s">
        <v>46</v>
      </c>
      <c r="H260" t="s">
        <v>131</v>
      </c>
    </row>
    <row r="261" spans="1:8" x14ac:dyDescent="0.2">
      <c r="A261" s="5">
        <v>46082</v>
      </c>
      <c r="B261" t="s">
        <v>129</v>
      </c>
      <c r="C261" t="s">
        <v>118</v>
      </c>
      <c r="D261" t="s">
        <v>91</v>
      </c>
      <c r="F261" s="6">
        <v>4838</v>
      </c>
      <c r="G261" t="s">
        <v>46</v>
      </c>
      <c r="H261" t="s">
        <v>131</v>
      </c>
    </row>
    <row r="262" spans="1:8" x14ac:dyDescent="0.2">
      <c r="A262" s="5">
        <v>46082</v>
      </c>
      <c r="B262" t="s">
        <v>134</v>
      </c>
      <c r="C262" t="s">
        <v>122</v>
      </c>
      <c r="D262" t="s">
        <v>54</v>
      </c>
      <c r="E262" t="s">
        <v>130</v>
      </c>
      <c r="F262" s="6">
        <v>574760</v>
      </c>
      <c r="G262" t="s">
        <v>135</v>
      </c>
      <c r="H262" t="s">
        <v>131</v>
      </c>
    </row>
    <row r="263" spans="1:8" x14ac:dyDescent="0.2">
      <c r="A263" s="5">
        <v>46082</v>
      </c>
      <c r="B263" t="s">
        <v>134</v>
      </c>
      <c r="C263" t="s">
        <v>122</v>
      </c>
      <c r="D263" t="s">
        <v>54</v>
      </c>
      <c r="E263" t="s">
        <v>132</v>
      </c>
      <c r="F263" s="6">
        <v>312629</v>
      </c>
      <c r="G263" t="s">
        <v>135</v>
      </c>
      <c r="H263" t="s">
        <v>131</v>
      </c>
    </row>
    <row r="264" spans="1:8" x14ac:dyDescent="0.2">
      <c r="A264" s="5">
        <v>46082</v>
      </c>
      <c r="B264" t="s">
        <v>134</v>
      </c>
      <c r="C264" t="s">
        <v>122</v>
      </c>
      <c r="D264" t="s">
        <v>58</v>
      </c>
      <c r="E264" t="s">
        <v>133</v>
      </c>
      <c r="F264" s="6">
        <v>88523</v>
      </c>
      <c r="G264" t="s">
        <v>135</v>
      </c>
      <c r="H264" t="s">
        <v>131</v>
      </c>
    </row>
    <row r="265" spans="1:8" x14ac:dyDescent="0.2">
      <c r="A265" s="5">
        <v>46082</v>
      </c>
      <c r="B265" t="s">
        <v>134</v>
      </c>
      <c r="C265" t="s">
        <v>97</v>
      </c>
      <c r="D265" t="s">
        <v>67</v>
      </c>
      <c r="F265" s="6">
        <v>106258</v>
      </c>
      <c r="G265" t="s">
        <v>135</v>
      </c>
      <c r="H265" t="s">
        <v>131</v>
      </c>
    </row>
    <row r="266" spans="1:8" x14ac:dyDescent="0.2">
      <c r="A266" s="5">
        <v>46082</v>
      </c>
      <c r="B266" t="s">
        <v>134</v>
      </c>
      <c r="C266" t="s">
        <v>97</v>
      </c>
      <c r="D266" t="s">
        <v>71</v>
      </c>
      <c r="F266" s="6">
        <v>25132</v>
      </c>
      <c r="G266" t="s">
        <v>135</v>
      </c>
      <c r="H266" t="s">
        <v>131</v>
      </c>
    </row>
    <row r="267" spans="1:8" x14ac:dyDescent="0.2">
      <c r="A267" s="5">
        <v>46082</v>
      </c>
      <c r="B267" t="s">
        <v>134</v>
      </c>
      <c r="C267" t="s">
        <v>97</v>
      </c>
      <c r="D267" t="s">
        <v>73</v>
      </c>
      <c r="F267" s="6">
        <v>37248</v>
      </c>
      <c r="G267" t="s">
        <v>135</v>
      </c>
      <c r="H267" t="s">
        <v>131</v>
      </c>
    </row>
    <row r="268" spans="1:8" x14ac:dyDescent="0.2">
      <c r="A268" s="5">
        <v>46082</v>
      </c>
      <c r="B268" t="s">
        <v>134</v>
      </c>
      <c r="C268" t="s">
        <v>97</v>
      </c>
      <c r="D268" t="s">
        <v>75</v>
      </c>
      <c r="F268" s="6">
        <v>10571</v>
      </c>
      <c r="G268" t="s">
        <v>135</v>
      </c>
      <c r="H268" t="s">
        <v>131</v>
      </c>
    </row>
    <row r="269" spans="1:8" x14ac:dyDescent="0.2">
      <c r="A269" s="5">
        <v>46082</v>
      </c>
      <c r="B269" t="s">
        <v>134</v>
      </c>
      <c r="C269" t="s">
        <v>97</v>
      </c>
      <c r="D269" t="s">
        <v>76</v>
      </c>
      <c r="F269" s="6">
        <v>6810</v>
      </c>
      <c r="G269" t="s">
        <v>135</v>
      </c>
      <c r="H269" t="s">
        <v>131</v>
      </c>
    </row>
    <row r="270" spans="1:8" x14ac:dyDescent="0.2">
      <c r="A270" s="5">
        <v>46082</v>
      </c>
      <c r="B270" t="s">
        <v>134</v>
      </c>
      <c r="C270" t="s">
        <v>97</v>
      </c>
      <c r="D270" t="s">
        <v>79</v>
      </c>
      <c r="F270" s="6">
        <v>8737</v>
      </c>
      <c r="G270" t="s">
        <v>135</v>
      </c>
      <c r="H270" t="s">
        <v>131</v>
      </c>
    </row>
    <row r="271" spans="1:8" x14ac:dyDescent="0.2">
      <c r="A271" s="5">
        <v>46082</v>
      </c>
      <c r="B271" t="s">
        <v>134</v>
      </c>
      <c r="C271" t="s">
        <v>97</v>
      </c>
      <c r="D271" t="s">
        <v>87</v>
      </c>
      <c r="F271" s="6">
        <v>3058</v>
      </c>
      <c r="G271" t="s">
        <v>135</v>
      </c>
      <c r="H271" t="s">
        <v>131</v>
      </c>
    </row>
    <row r="272" spans="1:8" x14ac:dyDescent="0.2">
      <c r="A272" s="5">
        <v>46082</v>
      </c>
      <c r="B272" t="s">
        <v>134</v>
      </c>
      <c r="C272" t="s">
        <v>97</v>
      </c>
      <c r="D272" t="s">
        <v>91</v>
      </c>
      <c r="F272" s="6">
        <v>2287</v>
      </c>
      <c r="G272" t="s">
        <v>135</v>
      </c>
      <c r="H272" t="s">
        <v>131</v>
      </c>
    </row>
    <row r="273" spans="1:8" x14ac:dyDescent="0.2">
      <c r="A273" s="5">
        <v>46082</v>
      </c>
      <c r="B273" t="s">
        <v>134</v>
      </c>
      <c r="C273" t="s">
        <v>102</v>
      </c>
      <c r="D273" t="s">
        <v>67</v>
      </c>
      <c r="F273" s="6">
        <v>49806</v>
      </c>
      <c r="G273" t="s">
        <v>135</v>
      </c>
      <c r="H273" t="s">
        <v>131</v>
      </c>
    </row>
    <row r="274" spans="1:8" x14ac:dyDescent="0.2">
      <c r="A274" s="5">
        <v>46082</v>
      </c>
      <c r="B274" t="s">
        <v>134</v>
      </c>
      <c r="C274" t="s">
        <v>102</v>
      </c>
      <c r="D274" t="s">
        <v>71</v>
      </c>
      <c r="F274" s="6">
        <v>11295</v>
      </c>
      <c r="G274" t="s">
        <v>135</v>
      </c>
      <c r="H274" t="s">
        <v>131</v>
      </c>
    </row>
    <row r="275" spans="1:8" x14ac:dyDescent="0.2">
      <c r="A275" s="5">
        <v>46082</v>
      </c>
      <c r="B275" t="s">
        <v>134</v>
      </c>
      <c r="C275" t="s">
        <v>102</v>
      </c>
      <c r="D275" t="s">
        <v>75</v>
      </c>
      <c r="F275" s="6">
        <v>4820</v>
      </c>
      <c r="G275" t="s">
        <v>135</v>
      </c>
      <c r="H275" t="s">
        <v>131</v>
      </c>
    </row>
    <row r="276" spans="1:8" x14ac:dyDescent="0.2">
      <c r="A276" s="5">
        <v>46082</v>
      </c>
      <c r="B276" t="s">
        <v>134</v>
      </c>
      <c r="C276" t="s">
        <v>102</v>
      </c>
      <c r="D276" t="s">
        <v>76</v>
      </c>
      <c r="F276" s="6">
        <v>3010</v>
      </c>
      <c r="G276" t="s">
        <v>135</v>
      </c>
      <c r="H276" t="s">
        <v>131</v>
      </c>
    </row>
    <row r="277" spans="1:8" x14ac:dyDescent="0.2">
      <c r="A277" s="5">
        <v>46082</v>
      </c>
      <c r="B277" t="s">
        <v>134</v>
      </c>
      <c r="C277" t="s">
        <v>102</v>
      </c>
      <c r="D277" t="s">
        <v>79</v>
      </c>
      <c r="F277" s="6">
        <v>4041</v>
      </c>
      <c r="G277" t="s">
        <v>135</v>
      </c>
      <c r="H277" t="s">
        <v>131</v>
      </c>
    </row>
    <row r="278" spans="1:8" x14ac:dyDescent="0.2">
      <c r="A278" s="5">
        <v>46082</v>
      </c>
      <c r="B278" t="s">
        <v>134</v>
      </c>
      <c r="C278" t="s">
        <v>102</v>
      </c>
      <c r="D278" t="s">
        <v>81</v>
      </c>
      <c r="F278" s="6">
        <v>62169</v>
      </c>
      <c r="G278" t="s">
        <v>135</v>
      </c>
      <c r="H278" t="s">
        <v>131</v>
      </c>
    </row>
    <row r="279" spans="1:8" x14ac:dyDescent="0.2">
      <c r="A279" s="5">
        <v>46082</v>
      </c>
      <c r="B279" t="s">
        <v>134</v>
      </c>
      <c r="C279" t="s">
        <v>102</v>
      </c>
      <c r="D279" t="s">
        <v>87</v>
      </c>
      <c r="F279" s="6">
        <v>1463</v>
      </c>
      <c r="G279" t="s">
        <v>135</v>
      </c>
      <c r="H279" t="s">
        <v>131</v>
      </c>
    </row>
    <row r="280" spans="1:8" x14ac:dyDescent="0.2">
      <c r="A280" s="5">
        <v>46082</v>
      </c>
      <c r="B280" t="s">
        <v>134</v>
      </c>
      <c r="C280" t="s">
        <v>102</v>
      </c>
      <c r="D280" t="s">
        <v>91</v>
      </c>
      <c r="F280" s="6">
        <v>996</v>
      </c>
      <c r="G280" t="s">
        <v>135</v>
      </c>
      <c r="H280" t="s">
        <v>131</v>
      </c>
    </row>
    <row r="281" spans="1:8" x14ac:dyDescent="0.2">
      <c r="A281" s="5">
        <v>46082</v>
      </c>
      <c r="B281" t="s">
        <v>134</v>
      </c>
      <c r="C281" t="s">
        <v>106</v>
      </c>
      <c r="D281" t="s">
        <v>65</v>
      </c>
      <c r="F281" s="6">
        <v>21584</v>
      </c>
      <c r="G281" t="s">
        <v>135</v>
      </c>
      <c r="H281" t="s">
        <v>131</v>
      </c>
    </row>
    <row r="282" spans="1:8" x14ac:dyDescent="0.2">
      <c r="A282" s="5">
        <v>46082</v>
      </c>
      <c r="B282" t="s">
        <v>134</v>
      </c>
      <c r="C282" t="s">
        <v>106</v>
      </c>
      <c r="D282" t="s">
        <v>67</v>
      </c>
      <c r="F282" s="6">
        <v>58020</v>
      </c>
      <c r="G282" t="s">
        <v>135</v>
      </c>
      <c r="H282" t="s">
        <v>131</v>
      </c>
    </row>
    <row r="283" spans="1:8" x14ac:dyDescent="0.2">
      <c r="A283" s="5">
        <v>46082</v>
      </c>
      <c r="B283" t="s">
        <v>134</v>
      </c>
      <c r="C283" t="s">
        <v>106</v>
      </c>
      <c r="D283" t="s">
        <v>71</v>
      </c>
      <c r="F283" s="6">
        <v>12502</v>
      </c>
      <c r="G283" t="s">
        <v>135</v>
      </c>
      <c r="H283" t="s">
        <v>131</v>
      </c>
    </row>
    <row r="284" spans="1:8" x14ac:dyDescent="0.2">
      <c r="A284" s="5">
        <v>46082</v>
      </c>
      <c r="B284" t="s">
        <v>134</v>
      </c>
      <c r="C284" t="s">
        <v>106</v>
      </c>
      <c r="D284" t="s">
        <v>75</v>
      </c>
      <c r="F284" s="6">
        <v>5400</v>
      </c>
      <c r="G284" t="s">
        <v>135</v>
      </c>
      <c r="H284" t="s">
        <v>131</v>
      </c>
    </row>
    <row r="285" spans="1:8" x14ac:dyDescent="0.2">
      <c r="A285" s="5">
        <v>46082</v>
      </c>
      <c r="B285" t="s">
        <v>134</v>
      </c>
      <c r="C285" t="s">
        <v>106</v>
      </c>
      <c r="D285" t="s">
        <v>76</v>
      </c>
      <c r="F285" s="6">
        <v>3286</v>
      </c>
      <c r="G285" t="s">
        <v>135</v>
      </c>
      <c r="H285" t="s">
        <v>131</v>
      </c>
    </row>
    <row r="286" spans="1:8" x14ac:dyDescent="0.2">
      <c r="A286" s="5">
        <v>46082</v>
      </c>
      <c r="B286" t="s">
        <v>134</v>
      </c>
      <c r="C286" t="s">
        <v>106</v>
      </c>
      <c r="D286" t="s">
        <v>79</v>
      </c>
      <c r="F286" s="6">
        <v>2199</v>
      </c>
      <c r="G286" t="s">
        <v>135</v>
      </c>
      <c r="H286" t="s">
        <v>131</v>
      </c>
    </row>
    <row r="287" spans="1:8" x14ac:dyDescent="0.2">
      <c r="A287" s="5">
        <v>46082</v>
      </c>
      <c r="B287" t="s">
        <v>134</v>
      </c>
      <c r="C287" t="s">
        <v>106</v>
      </c>
      <c r="D287" t="s">
        <v>87</v>
      </c>
      <c r="F287" s="6">
        <v>1713</v>
      </c>
      <c r="G287" t="s">
        <v>135</v>
      </c>
      <c r="H287" t="s">
        <v>131</v>
      </c>
    </row>
    <row r="288" spans="1:8" x14ac:dyDescent="0.2">
      <c r="A288" s="5">
        <v>46082</v>
      </c>
      <c r="B288" t="s">
        <v>134</v>
      </c>
      <c r="C288" t="s">
        <v>106</v>
      </c>
      <c r="D288" t="s">
        <v>91</v>
      </c>
      <c r="F288" s="6">
        <v>1099</v>
      </c>
      <c r="G288" t="s">
        <v>135</v>
      </c>
      <c r="H288" t="s">
        <v>131</v>
      </c>
    </row>
    <row r="289" spans="1:8" x14ac:dyDescent="0.2">
      <c r="A289" s="5">
        <v>46082</v>
      </c>
      <c r="B289" t="s">
        <v>134</v>
      </c>
      <c r="C289" t="s">
        <v>110</v>
      </c>
      <c r="D289" t="s">
        <v>61</v>
      </c>
      <c r="F289" s="6">
        <v>173102</v>
      </c>
      <c r="G289" t="s">
        <v>135</v>
      </c>
      <c r="H289" t="s">
        <v>131</v>
      </c>
    </row>
    <row r="290" spans="1:8" x14ac:dyDescent="0.2">
      <c r="A290" s="5">
        <v>46082</v>
      </c>
      <c r="B290" t="s">
        <v>134</v>
      </c>
      <c r="C290" t="s">
        <v>110</v>
      </c>
      <c r="D290" t="s">
        <v>67</v>
      </c>
      <c r="F290" s="6">
        <v>169318</v>
      </c>
      <c r="G290" t="s">
        <v>135</v>
      </c>
      <c r="H290" t="s">
        <v>131</v>
      </c>
    </row>
    <row r="291" spans="1:8" x14ac:dyDescent="0.2">
      <c r="A291" s="5">
        <v>46082</v>
      </c>
      <c r="B291" t="s">
        <v>134</v>
      </c>
      <c r="C291" t="s">
        <v>110</v>
      </c>
      <c r="D291" t="s">
        <v>71</v>
      </c>
      <c r="F291" s="6">
        <v>37170</v>
      </c>
      <c r="G291" t="s">
        <v>135</v>
      </c>
      <c r="H291" t="s">
        <v>131</v>
      </c>
    </row>
    <row r="292" spans="1:8" x14ac:dyDescent="0.2">
      <c r="A292" s="5">
        <v>46082</v>
      </c>
      <c r="B292" t="s">
        <v>134</v>
      </c>
      <c r="C292" t="s">
        <v>110</v>
      </c>
      <c r="D292" t="s">
        <v>75</v>
      </c>
      <c r="F292" s="6">
        <v>18126</v>
      </c>
      <c r="G292" t="s">
        <v>135</v>
      </c>
      <c r="H292" t="s">
        <v>131</v>
      </c>
    </row>
    <row r="293" spans="1:8" x14ac:dyDescent="0.2">
      <c r="A293" s="5">
        <v>46082</v>
      </c>
      <c r="B293" t="s">
        <v>134</v>
      </c>
      <c r="C293" t="s">
        <v>110</v>
      </c>
      <c r="D293" t="s">
        <v>76</v>
      </c>
      <c r="F293" s="6">
        <v>11097</v>
      </c>
      <c r="G293" t="s">
        <v>135</v>
      </c>
      <c r="H293" t="s">
        <v>131</v>
      </c>
    </row>
    <row r="294" spans="1:8" x14ac:dyDescent="0.2">
      <c r="A294" s="5">
        <v>46082</v>
      </c>
      <c r="B294" t="s">
        <v>134</v>
      </c>
      <c r="C294" t="s">
        <v>110</v>
      </c>
      <c r="D294" t="s">
        <v>79</v>
      </c>
      <c r="F294" s="6">
        <v>7130</v>
      </c>
      <c r="G294" t="s">
        <v>135</v>
      </c>
      <c r="H294" t="s">
        <v>131</v>
      </c>
    </row>
    <row r="295" spans="1:8" x14ac:dyDescent="0.2">
      <c r="A295" s="5">
        <v>46082</v>
      </c>
      <c r="B295" t="s">
        <v>134</v>
      </c>
      <c r="C295" t="s">
        <v>110</v>
      </c>
      <c r="D295" t="s">
        <v>87</v>
      </c>
      <c r="F295" s="6">
        <v>5185</v>
      </c>
      <c r="G295" t="s">
        <v>135</v>
      </c>
      <c r="H295" t="s">
        <v>131</v>
      </c>
    </row>
    <row r="296" spans="1:8" x14ac:dyDescent="0.2">
      <c r="A296" s="5">
        <v>46082</v>
      </c>
      <c r="B296" t="s">
        <v>134</v>
      </c>
      <c r="C296" t="s">
        <v>110</v>
      </c>
      <c r="D296" t="s">
        <v>89</v>
      </c>
      <c r="F296" s="6">
        <v>28673</v>
      </c>
      <c r="G296" t="s">
        <v>135</v>
      </c>
      <c r="H296" t="s">
        <v>131</v>
      </c>
    </row>
    <row r="297" spans="1:8" x14ac:dyDescent="0.2">
      <c r="A297" s="5">
        <v>46082</v>
      </c>
      <c r="B297" t="s">
        <v>134</v>
      </c>
      <c r="C297" t="s">
        <v>110</v>
      </c>
      <c r="D297" t="s">
        <v>91</v>
      </c>
      <c r="F297" s="6">
        <v>3440</v>
      </c>
      <c r="G297" t="s">
        <v>135</v>
      </c>
      <c r="H297" t="s">
        <v>131</v>
      </c>
    </row>
    <row r="298" spans="1:8" x14ac:dyDescent="0.2">
      <c r="A298" s="5">
        <v>46082</v>
      </c>
      <c r="B298" t="s">
        <v>134</v>
      </c>
      <c r="C298" t="s">
        <v>114</v>
      </c>
      <c r="D298" t="s">
        <v>67</v>
      </c>
      <c r="F298" s="6">
        <v>43795</v>
      </c>
      <c r="G298" t="s">
        <v>135</v>
      </c>
      <c r="H298" t="s">
        <v>131</v>
      </c>
    </row>
    <row r="299" spans="1:8" x14ac:dyDescent="0.2">
      <c r="A299" s="5">
        <v>46082</v>
      </c>
      <c r="B299" t="s">
        <v>134</v>
      </c>
      <c r="C299" t="s">
        <v>114</v>
      </c>
      <c r="D299" t="s">
        <v>71</v>
      </c>
      <c r="F299" s="6">
        <v>10831</v>
      </c>
      <c r="G299" t="s">
        <v>135</v>
      </c>
      <c r="H299" t="s">
        <v>131</v>
      </c>
    </row>
    <row r="300" spans="1:8" x14ac:dyDescent="0.2">
      <c r="A300" s="5">
        <v>46082</v>
      </c>
      <c r="B300" t="s">
        <v>134</v>
      </c>
      <c r="C300" t="s">
        <v>114</v>
      </c>
      <c r="D300" t="s">
        <v>75</v>
      </c>
      <c r="F300" s="6">
        <v>4647</v>
      </c>
      <c r="G300" t="s">
        <v>135</v>
      </c>
      <c r="H300" t="s">
        <v>131</v>
      </c>
    </row>
    <row r="301" spans="1:8" x14ac:dyDescent="0.2">
      <c r="A301" s="5">
        <v>46082</v>
      </c>
      <c r="B301" t="s">
        <v>134</v>
      </c>
      <c r="C301" t="s">
        <v>114</v>
      </c>
      <c r="D301" t="s">
        <v>76</v>
      </c>
      <c r="F301" s="6">
        <v>2677</v>
      </c>
      <c r="G301" t="s">
        <v>135</v>
      </c>
      <c r="H301" t="s">
        <v>131</v>
      </c>
    </row>
    <row r="302" spans="1:8" x14ac:dyDescent="0.2">
      <c r="A302" s="5">
        <v>46082</v>
      </c>
      <c r="B302" t="s">
        <v>134</v>
      </c>
      <c r="C302" t="s">
        <v>114</v>
      </c>
      <c r="D302" t="s">
        <v>79</v>
      </c>
      <c r="F302" s="6">
        <v>1805</v>
      </c>
      <c r="G302" t="s">
        <v>135</v>
      </c>
      <c r="H302" t="s">
        <v>131</v>
      </c>
    </row>
    <row r="303" spans="1:8" x14ac:dyDescent="0.2">
      <c r="A303" s="5">
        <v>46082</v>
      </c>
      <c r="B303" t="s">
        <v>134</v>
      </c>
      <c r="C303" t="s">
        <v>114</v>
      </c>
      <c r="D303" t="s">
        <v>87</v>
      </c>
      <c r="F303" s="6">
        <v>1416</v>
      </c>
      <c r="G303" t="s">
        <v>135</v>
      </c>
      <c r="H303" t="s">
        <v>131</v>
      </c>
    </row>
    <row r="304" spans="1:8" x14ac:dyDescent="0.2">
      <c r="A304" s="5">
        <v>46082</v>
      </c>
      <c r="B304" t="s">
        <v>134</v>
      </c>
      <c r="C304" t="s">
        <v>114</v>
      </c>
      <c r="D304" t="s">
        <v>91</v>
      </c>
      <c r="F304" s="6">
        <v>942</v>
      </c>
      <c r="G304" t="s">
        <v>135</v>
      </c>
      <c r="H304" t="s">
        <v>131</v>
      </c>
    </row>
    <row r="305" spans="1:8" x14ac:dyDescent="0.2">
      <c r="A305" s="5">
        <v>46082</v>
      </c>
      <c r="B305" t="s">
        <v>134</v>
      </c>
      <c r="C305" t="s">
        <v>118</v>
      </c>
      <c r="D305" t="s">
        <v>67</v>
      </c>
      <c r="F305" s="6">
        <v>70540</v>
      </c>
      <c r="G305" t="s">
        <v>135</v>
      </c>
      <c r="H305" t="s">
        <v>131</v>
      </c>
    </row>
    <row r="306" spans="1:8" x14ac:dyDescent="0.2">
      <c r="A306" s="5">
        <v>46082</v>
      </c>
      <c r="B306" t="s">
        <v>134</v>
      </c>
      <c r="C306" t="s">
        <v>118</v>
      </c>
      <c r="D306" t="s">
        <v>71</v>
      </c>
      <c r="F306" s="6">
        <v>16066</v>
      </c>
      <c r="G306" t="s">
        <v>135</v>
      </c>
      <c r="H306" t="s">
        <v>131</v>
      </c>
    </row>
    <row r="307" spans="1:8" x14ac:dyDescent="0.2">
      <c r="A307" s="5">
        <v>46082</v>
      </c>
      <c r="B307" t="s">
        <v>134</v>
      </c>
      <c r="C307" t="s">
        <v>118</v>
      </c>
      <c r="D307" t="s">
        <v>75</v>
      </c>
      <c r="F307" s="6">
        <v>6525</v>
      </c>
      <c r="G307" t="s">
        <v>135</v>
      </c>
      <c r="H307" t="s">
        <v>131</v>
      </c>
    </row>
    <row r="308" spans="1:8" x14ac:dyDescent="0.2">
      <c r="A308" s="5">
        <v>46082</v>
      </c>
      <c r="B308" t="s">
        <v>134</v>
      </c>
      <c r="C308" t="s">
        <v>118</v>
      </c>
      <c r="D308" t="s">
        <v>76</v>
      </c>
      <c r="F308" s="6">
        <v>4307</v>
      </c>
      <c r="G308" t="s">
        <v>135</v>
      </c>
      <c r="H308" t="s">
        <v>131</v>
      </c>
    </row>
    <row r="309" spans="1:8" x14ac:dyDescent="0.2">
      <c r="A309" s="5">
        <v>46082</v>
      </c>
      <c r="B309" t="s">
        <v>134</v>
      </c>
      <c r="C309" t="s">
        <v>118</v>
      </c>
      <c r="D309" t="s">
        <v>79</v>
      </c>
      <c r="F309" s="6">
        <v>3069</v>
      </c>
      <c r="G309" t="s">
        <v>135</v>
      </c>
      <c r="H309" t="s">
        <v>131</v>
      </c>
    </row>
    <row r="310" spans="1:8" x14ac:dyDescent="0.2">
      <c r="A310" s="5">
        <v>46082</v>
      </c>
      <c r="B310" t="s">
        <v>134</v>
      </c>
      <c r="C310" t="s">
        <v>118</v>
      </c>
      <c r="D310" t="s">
        <v>83</v>
      </c>
      <c r="F310" s="6">
        <v>42980</v>
      </c>
      <c r="G310" t="s">
        <v>135</v>
      </c>
      <c r="H310" t="s">
        <v>131</v>
      </c>
    </row>
    <row r="311" spans="1:8" x14ac:dyDescent="0.2">
      <c r="A311" s="5">
        <v>46082</v>
      </c>
      <c r="B311" t="s">
        <v>134</v>
      </c>
      <c r="C311" t="s">
        <v>118</v>
      </c>
      <c r="D311" t="s">
        <v>85</v>
      </c>
      <c r="F311" s="6">
        <v>22204</v>
      </c>
      <c r="G311" t="s">
        <v>135</v>
      </c>
      <c r="H311" t="s">
        <v>131</v>
      </c>
    </row>
    <row r="312" spans="1:8" x14ac:dyDescent="0.2">
      <c r="A312" s="5">
        <v>46082</v>
      </c>
      <c r="B312" t="s">
        <v>134</v>
      </c>
      <c r="C312" t="s">
        <v>118</v>
      </c>
      <c r="D312" t="s">
        <v>87</v>
      </c>
      <c r="F312" s="6">
        <v>2245</v>
      </c>
      <c r="G312" t="s">
        <v>135</v>
      </c>
      <c r="H312" t="s">
        <v>131</v>
      </c>
    </row>
    <row r="313" spans="1:8" x14ac:dyDescent="0.2">
      <c r="A313" s="5">
        <v>46082</v>
      </c>
      <c r="B313" t="s">
        <v>134</v>
      </c>
      <c r="C313" t="s">
        <v>118</v>
      </c>
      <c r="D313" t="s">
        <v>91</v>
      </c>
      <c r="F313" s="6">
        <v>1434</v>
      </c>
      <c r="G313" t="s">
        <v>135</v>
      </c>
      <c r="H313" t="s">
        <v>131</v>
      </c>
    </row>
    <row r="314" spans="1:8" x14ac:dyDescent="0.2">
      <c r="A314" s="5">
        <v>46113</v>
      </c>
      <c r="B314" t="s">
        <v>129</v>
      </c>
      <c r="C314" t="s">
        <v>122</v>
      </c>
      <c r="D314" t="s">
        <v>54</v>
      </c>
      <c r="E314" t="s">
        <v>130</v>
      </c>
      <c r="F314" s="6">
        <v>1853217</v>
      </c>
      <c r="G314" t="s">
        <v>46</v>
      </c>
      <c r="H314" t="s">
        <v>131</v>
      </c>
    </row>
    <row r="315" spans="1:8" x14ac:dyDescent="0.2">
      <c r="A315" s="5">
        <v>46113</v>
      </c>
      <c r="B315" t="s">
        <v>129</v>
      </c>
      <c r="C315" t="s">
        <v>122</v>
      </c>
      <c r="D315" t="s">
        <v>54</v>
      </c>
      <c r="E315" t="s">
        <v>132</v>
      </c>
      <c r="F315" s="6">
        <v>1041172</v>
      </c>
      <c r="G315" t="s">
        <v>46</v>
      </c>
      <c r="H315" t="s">
        <v>131</v>
      </c>
    </row>
    <row r="316" spans="1:8" x14ac:dyDescent="0.2">
      <c r="A316" s="5">
        <v>46113</v>
      </c>
      <c r="B316" t="s">
        <v>129</v>
      </c>
      <c r="C316" t="s">
        <v>122</v>
      </c>
      <c r="D316" t="s">
        <v>58</v>
      </c>
      <c r="E316" t="s">
        <v>133</v>
      </c>
      <c r="F316" s="6">
        <v>286107</v>
      </c>
      <c r="G316" t="s">
        <v>46</v>
      </c>
      <c r="H316" t="s">
        <v>131</v>
      </c>
    </row>
    <row r="317" spans="1:8" x14ac:dyDescent="0.2">
      <c r="A317" s="5">
        <v>46113</v>
      </c>
      <c r="B317" t="s">
        <v>129</v>
      </c>
      <c r="C317" t="s">
        <v>97</v>
      </c>
      <c r="D317" t="s">
        <v>67</v>
      </c>
      <c r="F317" s="6">
        <v>350530</v>
      </c>
      <c r="G317" t="s">
        <v>46</v>
      </c>
      <c r="H317" t="s">
        <v>131</v>
      </c>
    </row>
    <row r="318" spans="1:8" x14ac:dyDescent="0.2">
      <c r="A318" s="5">
        <v>46113</v>
      </c>
      <c r="B318" t="s">
        <v>129</v>
      </c>
      <c r="C318" t="s">
        <v>97</v>
      </c>
      <c r="D318" t="s">
        <v>71</v>
      </c>
      <c r="F318" s="6">
        <v>74550</v>
      </c>
      <c r="G318" t="s">
        <v>46</v>
      </c>
      <c r="H318" t="s">
        <v>131</v>
      </c>
    </row>
    <row r="319" spans="1:8" x14ac:dyDescent="0.2">
      <c r="A319" s="5">
        <v>46113</v>
      </c>
      <c r="B319" t="s">
        <v>129</v>
      </c>
      <c r="C319" t="s">
        <v>97</v>
      </c>
      <c r="D319" t="s">
        <v>73</v>
      </c>
      <c r="F319" s="6">
        <v>114342</v>
      </c>
      <c r="G319" t="s">
        <v>46</v>
      </c>
      <c r="H319" t="s">
        <v>131</v>
      </c>
    </row>
    <row r="320" spans="1:8" x14ac:dyDescent="0.2">
      <c r="A320" s="5">
        <v>46113</v>
      </c>
      <c r="B320" t="s">
        <v>129</v>
      </c>
      <c r="C320" t="s">
        <v>97</v>
      </c>
      <c r="D320" t="s">
        <v>75</v>
      </c>
      <c r="F320" s="6">
        <v>31563</v>
      </c>
      <c r="G320" t="s">
        <v>46</v>
      </c>
      <c r="H320" t="s">
        <v>131</v>
      </c>
    </row>
    <row r="321" spans="1:8" x14ac:dyDescent="0.2">
      <c r="A321" s="5">
        <v>46113</v>
      </c>
      <c r="B321" t="s">
        <v>129</v>
      </c>
      <c r="C321" t="s">
        <v>97</v>
      </c>
      <c r="D321" t="s">
        <v>76</v>
      </c>
      <c r="F321" s="6">
        <v>20445</v>
      </c>
      <c r="G321" t="s">
        <v>46</v>
      </c>
      <c r="H321" t="s">
        <v>131</v>
      </c>
    </row>
    <row r="322" spans="1:8" x14ac:dyDescent="0.2">
      <c r="A322" s="5">
        <v>46113</v>
      </c>
      <c r="B322" t="s">
        <v>129</v>
      </c>
      <c r="C322" t="s">
        <v>97</v>
      </c>
      <c r="D322" t="s">
        <v>79</v>
      </c>
      <c r="F322" s="6">
        <v>27942</v>
      </c>
      <c r="G322" t="s">
        <v>46</v>
      </c>
      <c r="H322" t="s">
        <v>131</v>
      </c>
    </row>
    <row r="323" spans="1:8" x14ac:dyDescent="0.2">
      <c r="A323" s="5">
        <v>46113</v>
      </c>
      <c r="B323" t="s">
        <v>129</v>
      </c>
      <c r="C323" t="s">
        <v>97</v>
      </c>
      <c r="D323" t="s">
        <v>87</v>
      </c>
      <c r="F323" s="6">
        <v>10132</v>
      </c>
      <c r="G323" t="s">
        <v>46</v>
      </c>
      <c r="H323" t="s">
        <v>131</v>
      </c>
    </row>
    <row r="324" spans="1:8" x14ac:dyDescent="0.2">
      <c r="A324" s="5">
        <v>46113</v>
      </c>
      <c r="B324" t="s">
        <v>129</v>
      </c>
      <c r="C324" t="s">
        <v>97</v>
      </c>
      <c r="D324" t="s">
        <v>91</v>
      </c>
      <c r="F324" s="6">
        <v>6708</v>
      </c>
      <c r="G324" t="s">
        <v>46</v>
      </c>
      <c r="H324" t="s">
        <v>131</v>
      </c>
    </row>
    <row r="325" spans="1:8" x14ac:dyDescent="0.2">
      <c r="A325" s="5">
        <v>46113</v>
      </c>
      <c r="B325" t="s">
        <v>129</v>
      </c>
      <c r="C325" t="s">
        <v>102</v>
      </c>
      <c r="D325" t="s">
        <v>67</v>
      </c>
      <c r="F325" s="6">
        <v>144448</v>
      </c>
      <c r="G325" t="s">
        <v>46</v>
      </c>
      <c r="H325" t="s">
        <v>131</v>
      </c>
    </row>
    <row r="326" spans="1:8" x14ac:dyDescent="0.2">
      <c r="A326" s="5">
        <v>46113</v>
      </c>
      <c r="B326" t="s">
        <v>129</v>
      </c>
      <c r="C326" t="s">
        <v>102</v>
      </c>
      <c r="D326" t="s">
        <v>71</v>
      </c>
      <c r="F326" s="6">
        <v>32190</v>
      </c>
      <c r="G326" t="s">
        <v>46</v>
      </c>
      <c r="H326" t="s">
        <v>131</v>
      </c>
    </row>
    <row r="327" spans="1:8" x14ac:dyDescent="0.2">
      <c r="A327" s="5">
        <v>46113</v>
      </c>
      <c r="B327" t="s">
        <v>129</v>
      </c>
      <c r="C327" t="s">
        <v>102</v>
      </c>
      <c r="D327" t="s">
        <v>75</v>
      </c>
      <c r="F327" s="6">
        <v>16563</v>
      </c>
      <c r="G327" t="s">
        <v>46</v>
      </c>
      <c r="H327" t="s">
        <v>131</v>
      </c>
    </row>
    <row r="328" spans="1:8" x14ac:dyDescent="0.2">
      <c r="A328" s="5">
        <v>46113</v>
      </c>
      <c r="B328" t="s">
        <v>129</v>
      </c>
      <c r="C328" t="s">
        <v>102</v>
      </c>
      <c r="D328" t="s">
        <v>76</v>
      </c>
      <c r="F328" s="6">
        <v>8817</v>
      </c>
      <c r="G328" t="s">
        <v>46</v>
      </c>
      <c r="H328" t="s">
        <v>131</v>
      </c>
    </row>
    <row r="329" spans="1:8" x14ac:dyDescent="0.2">
      <c r="A329" s="5">
        <v>46113</v>
      </c>
      <c r="B329" t="s">
        <v>129</v>
      </c>
      <c r="C329" t="s">
        <v>102</v>
      </c>
      <c r="D329" t="s">
        <v>79</v>
      </c>
      <c r="F329" s="6">
        <v>11458</v>
      </c>
      <c r="G329" t="s">
        <v>46</v>
      </c>
      <c r="H329" t="s">
        <v>131</v>
      </c>
    </row>
    <row r="330" spans="1:8" x14ac:dyDescent="0.2">
      <c r="A330" s="5">
        <v>46113</v>
      </c>
      <c r="B330" t="s">
        <v>129</v>
      </c>
      <c r="C330" t="s">
        <v>102</v>
      </c>
      <c r="D330" t="s">
        <v>81</v>
      </c>
      <c r="F330" s="6">
        <v>349451</v>
      </c>
      <c r="G330" t="s">
        <v>46</v>
      </c>
      <c r="H330" t="s">
        <v>131</v>
      </c>
    </row>
    <row r="331" spans="1:8" x14ac:dyDescent="0.2">
      <c r="A331" s="5">
        <v>46113</v>
      </c>
      <c r="B331" t="s">
        <v>129</v>
      </c>
      <c r="C331" t="s">
        <v>102</v>
      </c>
      <c r="D331" t="s">
        <v>87</v>
      </c>
      <c r="F331" s="6">
        <v>4565</v>
      </c>
      <c r="G331" t="s">
        <v>46</v>
      </c>
      <c r="H331" t="s">
        <v>131</v>
      </c>
    </row>
    <row r="332" spans="1:8" x14ac:dyDescent="0.2">
      <c r="A332" s="5">
        <v>46113</v>
      </c>
      <c r="B332" t="s">
        <v>129</v>
      </c>
      <c r="C332" t="s">
        <v>102</v>
      </c>
      <c r="D332" t="s">
        <v>91</v>
      </c>
      <c r="F332" s="6">
        <v>3084</v>
      </c>
      <c r="G332" t="s">
        <v>46</v>
      </c>
      <c r="H332" t="s">
        <v>131</v>
      </c>
    </row>
    <row r="333" spans="1:8" x14ac:dyDescent="0.2">
      <c r="A333" s="5">
        <v>46113</v>
      </c>
      <c r="B333" t="s">
        <v>129</v>
      </c>
      <c r="C333" t="s">
        <v>106</v>
      </c>
      <c r="D333" t="s">
        <v>65</v>
      </c>
      <c r="F333" s="6">
        <v>74778</v>
      </c>
      <c r="G333" t="s">
        <v>46</v>
      </c>
      <c r="H333" t="s">
        <v>131</v>
      </c>
    </row>
    <row r="334" spans="1:8" x14ac:dyDescent="0.2">
      <c r="A334" s="5">
        <v>46113</v>
      </c>
      <c r="B334" t="s">
        <v>129</v>
      </c>
      <c r="C334" t="s">
        <v>106</v>
      </c>
      <c r="D334" t="s">
        <v>67</v>
      </c>
      <c r="F334" s="6">
        <v>167736</v>
      </c>
      <c r="G334" t="s">
        <v>46</v>
      </c>
      <c r="H334" t="s">
        <v>131</v>
      </c>
    </row>
    <row r="335" spans="1:8" x14ac:dyDescent="0.2">
      <c r="A335" s="5">
        <v>46113</v>
      </c>
      <c r="B335" t="s">
        <v>129</v>
      </c>
      <c r="C335" t="s">
        <v>106</v>
      </c>
      <c r="D335" t="s">
        <v>71</v>
      </c>
      <c r="F335" s="6">
        <v>38376</v>
      </c>
      <c r="G335" t="s">
        <v>46</v>
      </c>
      <c r="H335" t="s">
        <v>131</v>
      </c>
    </row>
    <row r="336" spans="1:8" x14ac:dyDescent="0.2">
      <c r="A336" s="5">
        <v>46113</v>
      </c>
      <c r="B336" t="s">
        <v>129</v>
      </c>
      <c r="C336" t="s">
        <v>106</v>
      </c>
      <c r="D336" t="s">
        <v>75</v>
      </c>
      <c r="F336" s="6">
        <v>18180</v>
      </c>
      <c r="G336" t="s">
        <v>46</v>
      </c>
      <c r="H336" t="s">
        <v>131</v>
      </c>
    </row>
    <row r="337" spans="1:8" x14ac:dyDescent="0.2">
      <c r="A337" s="5">
        <v>46113</v>
      </c>
      <c r="B337" t="s">
        <v>129</v>
      </c>
      <c r="C337" t="s">
        <v>106</v>
      </c>
      <c r="D337" t="s">
        <v>76</v>
      </c>
      <c r="F337" s="6">
        <v>11178</v>
      </c>
      <c r="G337" t="s">
        <v>46</v>
      </c>
      <c r="H337" t="s">
        <v>131</v>
      </c>
    </row>
    <row r="338" spans="1:8" x14ac:dyDescent="0.2">
      <c r="A338" s="5">
        <v>46113</v>
      </c>
      <c r="B338" t="s">
        <v>129</v>
      </c>
      <c r="C338" t="s">
        <v>106</v>
      </c>
      <c r="D338" t="s">
        <v>79</v>
      </c>
      <c r="F338" s="6">
        <v>6966</v>
      </c>
      <c r="G338" t="s">
        <v>46</v>
      </c>
      <c r="H338" t="s">
        <v>131</v>
      </c>
    </row>
    <row r="339" spans="1:8" x14ac:dyDescent="0.2">
      <c r="A339" s="5">
        <v>46113</v>
      </c>
      <c r="B339" t="s">
        <v>129</v>
      </c>
      <c r="C339" t="s">
        <v>106</v>
      </c>
      <c r="D339" t="s">
        <v>87</v>
      </c>
      <c r="F339" s="6">
        <v>5203</v>
      </c>
      <c r="G339" t="s">
        <v>46</v>
      </c>
      <c r="H339" t="s">
        <v>131</v>
      </c>
    </row>
    <row r="340" spans="1:8" x14ac:dyDescent="0.2">
      <c r="A340" s="5">
        <v>46113</v>
      </c>
      <c r="B340" t="s">
        <v>129</v>
      </c>
      <c r="C340" t="s">
        <v>106</v>
      </c>
      <c r="D340" t="s">
        <v>91</v>
      </c>
      <c r="F340" s="6">
        <v>3514</v>
      </c>
      <c r="G340" t="s">
        <v>46</v>
      </c>
      <c r="H340" t="s">
        <v>131</v>
      </c>
    </row>
    <row r="341" spans="1:8" x14ac:dyDescent="0.2">
      <c r="A341" s="5">
        <v>46113</v>
      </c>
      <c r="B341" t="s">
        <v>129</v>
      </c>
      <c r="C341" t="s">
        <v>110</v>
      </c>
      <c r="D341" t="s">
        <v>61</v>
      </c>
      <c r="F341" s="6">
        <v>541467</v>
      </c>
      <c r="G341" t="s">
        <v>46</v>
      </c>
      <c r="H341" t="s">
        <v>131</v>
      </c>
    </row>
    <row r="342" spans="1:8" x14ac:dyDescent="0.2">
      <c r="A342" s="5">
        <v>46113</v>
      </c>
      <c r="B342" t="s">
        <v>129</v>
      </c>
      <c r="C342" t="s">
        <v>110</v>
      </c>
      <c r="D342" t="s">
        <v>67</v>
      </c>
      <c r="F342" s="6">
        <v>502796</v>
      </c>
      <c r="G342" t="s">
        <v>46</v>
      </c>
      <c r="H342" t="s">
        <v>131</v>
      </c>
    </row>
    <row r="343" spans="1:8" x14ac:dyDescent="0.2">
      <c r="A343" s="5">
        <v>46113</v>
      </c>
      <c r="B343" t="s">
        <v>129</v>
      </c>
      <c r="C343" t="s">
        <v>110</v>
      </c>
      <c r="D343" t="s">
        <v>71</v>
      </c>
      <c r="F343" s="6">
        <v>115753</v>
      </c>
      <c r="G343" t="s">
        <v>46</v>
      </c>
      <c r="H343" t="s">
        <v>131</v>
      </c>
    </row>
    <row r="344" spans="1:8" x14ac:dyDescent="0.2">
      <c r="A344" s="5">
        <v>46113</v>
      </c>
      <c r="B344" t="s">
        <v>129</v>
      </c>
      <c r="C344" t="s">
        <v>110</v>
      </c>
      <c r="D344" t="s">
        <v>75</v>
      </c>
      <c r="F344" s="6">
        <v>52803</v>
      </c>
      <c r="G344" t="s">
        <v>46</v>
      </c>
      <c r="H344" t="s">
        <v>131</v>
      </c>
    </row>
    <row r="345" spans="1:8" x14ac:dyDescent="0.2">
      <c r="A345" s="5">
        <v>46113</v>
      </c>
      <c r="B345" t="s">
        <v>129</v>
      </c>
      <c r="C345" t="s">
        <v>110</v>
      </c>
      <c r="D345" t="s">
        <v>76</v>
      </c>
      <c r="F345" s="6">
        <v>32832</v>
      </c>
      <c r="G345" t="s">
        <v>46</v>
      </c>
      <c r="H345" t="s">
        <v>131</v>
      </c>
    </row>
    <row r="346" spans="1:8" x14ac:dyDescent="0.2">
      <c r="A346" s="5">
        <v>46113</v>
      </c>
      <c r="B346" t="s">
        <v>129</v>
      </c>
      <c r="C346" t="s">
        <v>110</v>
      </c>
      <c r="D346" t="s">
        <v>79</v>
      </c>
      <c r="F346" s="6">
        <v>20513</v>
      </c>
      <c r="G346" t="s">
        <v>46</v>
      </c>
      <c r="H346" t="s">
        <v>131</v>
      </c>
    </row>
    <row r="347" spans="1:8" x14ac:dyDescent="0.2">
      <c r="A347" s="5">
        <v>46113</v>
      </c>
      <c r="B347" t="s">
        <v>129</v>
      </c>
      <c r="C347" t="s">
        <v>110</v>
      </c>
      <c r="D347" t="s">
        <v>87</v>
      </c>
      <c r="F347" s="6">
        <v>16630</v>
      </c>
      <c r="G347" t="s">
        <v>46</v>
      </c>
      <c r="H347" t="s">
        <v>131</v>
      </c>
    </row>
    <row r="348" spans="1:8" x14ac:dyDescent="0.2">
      <c r="A348" s="5">
        <v>46113</v>
      </c>
      <c r="B348" t="s">
        <v>129</v>
      </c>
      <c r="C348" t="s">
        <v>110</v>
      </c>
      <c r="D348" t="s">
        <v>89</v>
      </c>
      <c r="F348" s="6">
        <v>92474</v>
      </c>
      <c r="G348" t="s">
        <v>46</v>
      </c>
      <c r="H348" t="s">
        <v>131</v>
      </c>
    </row>
    <row r="349" spans="1:8" x14ac:dyDescent="0.2">
      <c r="A349" s="5">
        <v>46113</v>
      </c>
      <c r="B349" t="s">
        <v>129</v>
      </c>
      <c r="C349" t="s">
        <v>110</v>
      </c>
      <c r="D349" t="s">
        <v>91</v>
      </c>
      <c r="F349" s="6">
        <v>10765</v>
      </c>
      <c r="G349" t="s">
        <v>46</v>
      </c>
      <c r="H349" t="s">
        <v>131</v>
      </c>
    </row>
    <row r="350" spans="1:8" x14ac:dyDescent="0.2">
      <c r="A350" s="5">
        <v>46113</v>
      </c>
      <c r="B350" t="s">
        <v>129</v>
      </c>
      <c r="C350" t="s">
        <v>114</v>
      </c>
      <c r="D350" t="s">
        <v>67</v>
      </c>
      <c r="F350" s="6">
        <v>137553</v>
      </c>
      <c r="G350" t="s">
        <v>46</v>
      </c>
      <c r="H350" t="s">
        <v>131</v>
      </c>
    </row>
    <row r="351" spans="1:8" x14ac:dyDescent="0.2">
      <c r="A351" s="5">
        <v>46113</v>
      </c>
      <c r="B351" t="s">
        <v>129</v>
      </c>
      <c r="C351" t="s">
        <v>114</v>
      </c>
      <c r="D351" t="s">
        <v>71</v>
      </c>
      <c r="F351" s="6">
        <v>29372</v>
      </c>
      <c r="G351" t="s">
        <v>46</v>
      </c>
      <c r="H351" t="s">
        <v>131</v>
      </c>
    </row>
    <row r="352" spans="1:8" x14ac:dyDescent="0.2">
      <c r="A352" s="5">
        <v>46113</v>
      </c>
      <c r="B352" t="s">
        <v>129</v>
      </c>
      <c r="C352" t="s">
        <v>114</v>
      </c>
      <c r="D352" t="s">
        <v>75</v>
      </c>
      <c r="F352" s="6">
        <v>14214</v>
      </c>
      <c r="G352" t="s">
        <v>46</v>
      </c>
      <c r="H352" t="s">
        <v>131</v>
      </c>
    </row>
    <row r="353" spans="1:8" x14ac:dyDescent="0.2">
      <c r="A353" s="5">
        <v>46113</v>
      </c>
      <c r="B353" t="s">
        <v>129</v>
      </c>
      <c r="C353" t="s">
        <v>114</v>
      </c>
      <c r="D353" t="s">
        <v>76</v>
      </c>
      <c r="F353" s="6">
        <v>8591</v>
      </c>
      <c r="G353" t="s">
        <v>46</v>
      </c>
      <c r="H353" t="s">
        <v>131</v>
      </c>
    </row>
    <row r="354" spans="1:8" x14ac:dyDescent="0.2">
      <c r="A354" s="5">
        <v>46113</v>
      </c>
      <c r="B354" t="s">
        <v>129</v>
      </c>
      <c r="C354" t="s">
        <v>114</v>
      </c>
      <c r="D354" t="s">
        <v>79</v>
      </c>
      <c r="F354" s="6">
        <v>5587</v>
      </c>
      <c r="G354" t="s">
        <v>46</v>
      </c>
      <c r="H354" t="s">
        <v>131</v>
      </c>
    </row>
    <row r="355" spans="1:8" x14ac:dyDescent="0.2">
      <c r="A355" s="5">
        <v>46113</v>
      </c>
      <c r="B355" t="s">
        <v>129</v>
      </c>
      <c r="C355" t="s">
        <v>114</v>
      </c>
      <c r="D355" t="s">
        <v>87</v>
      </c>
      <c r="F355" s="6">
        <v>4316</v>
      </c>
      <c r="G355" t="s">
        <v>46</v>
      </c>
      <c r="H355" t="s">
        <v>131</v>
      </c>
    </row>
    <row r="356" spans="1:8" x14ac:dyDescent="0.2">
      <c r="A356" s="5">
        <v>46113</v>
      </c>
      <c r="B356" t="s">
        <v>129</v>
      </c>
      <c r="C356" t="s">
        <v>114</v>
      </c>
      <c r="D356" t="s">
        <v>91</v>
      </c>
      <c r="F356" s="6">
        <v>2797</v>
      </c>
      <c r="G356" t="s">
        <v>46</v>
      </c>
      <c r="H356" t="s">
        <v>131</v>
      </c>
    </row>
    <row r="357" spans="1:8" x14ac:dyDescent="0.2">
      <c r="A357" s="5">
        <v>46113</v>
      </c>
      <c r="B357" t="s">
        <v>129</v>
      </c>
      <c r="C357" t="s">
        <v>118</v>
      </c>
      <c r="D357" t="s">
        <v>67</v>
      </c>
      <c r="F357" s="6">
        <v>224760</v>
      </c>
      <c r="G357" t="s">
        <v>46</v>
      </c>
      <c r="H357" t="s">
        <v>131</v>
      </c>
    </row>
    <row r="358" spans="1:8" x14ac:dyDescent="0.2">
      <c r="A358" s="5">
        <v>46113</v>
      </c>
      <c r="B358" t="s">
        <v>129</v>
      </c>
      <c r="C358" t="s">
        <v>118</v>
      </c>
      <c r="D358" t="s">
        <v>71</v>
      </c>
      <c r="F358" s="6">
        <v>49625</v>
      </c>
      <c r="G358" t="s">
        <v>46</v>
      </c>
      <c r="H358" t="s">
        <v>131</v>
      </c>
    </row>
    <row r="359" spans="1:8" x14ac:dyDescent="0.2">
      <c r="A359" s="5">
        <v>46113</v>
      </c>
      <c r="B359" t="s">
        <v>129</v>
      </c>
      <c r="C359" t="s">
        <v>118</v>
      </c>
      <c r="D359" t="s">
        <v>75</v>
      </c>
      <c r="F359" s="6">
        <v>24968</v>
      </c>
      <c r="G359" t="s">
        <v>46</v>
      </c>
      <c r="H359" t="s">
        <v>131</v>
      </c>
    </row>
    <row r="360" spans="1:8" x14ac:dyDescent="0.2">
      <c r="A360" s="5">
        <v>46113</v>
      </c>
      <c r="B360" t="s">
        <v>129</v>
      </c>
      <c r="C360" t="s">
        <v>118</v>
      </c>
      <c r="D360" t="s">
        <v>76</v>
      </c>
      <c r="F360" s="6">
        <v>13217</v>
      </c>
      <c r="G360" t="s">
        <v>46</v>
      </c>
      <c r="H360" t="s">
        <v>131</v>
      </c>
    </row>
    <row r="361" spans="1:8" x14ac:dyDescent="0.2">
      <c r="A361" s="5">
        <v>46113</v>
      </c>
      <c r="B361" t="s">
        <v>129</v>
      </c>
      <c r="C361" t="s">
        <v>118</v>
      </c>
      <c r="D361" t="s">
        <v>79</v>
      </c>
      <c r="F361" s="6">
        <v>9366</v>
      </c>
      <c r="G361" t="s">
        <v>46</v>
      </c>
      <c r="H361" t="s">
        <v>131</v>
      </c>
    </row>
    <row r="362" spans="1:8" x14ac:dyDescent="0.2">
      <c r="A362" s="5">
        <v>46113</v>
      </c>
      <c r="B362" t="s">
        <v>129</v>
      </c>
      <c r="C362" t="s">
        <v>118</v>
      </c>
      <c r="D362" t="s">
        <v>83</v>
      </c>
      <c r="F362" s="6">
        <v>137124</v>
      </c>
      <c r="G362" t="s">
        <v>46</v>
      </c>
      <c r="H362" t="s">
        <v>131</v>
      </c>
    </row>
    <row r="363" spans="1:8" x14ac:dyDescent="0.2">
      <c r="A363" s="5">
        <v>46113</v>
      </c>
      <c r="B363" t="s">
        <v>129</v>
      </c>
      <c r="C363" t="s">
        <v>118</v>
      </c>
      <c r="D363" t="s">
        <v>85</v>
      </c>
      <c r="F363" s="6">
        <v>72414</v>
      </c>
      <c r="G363" t="s">
        <v>46</v>
      </c>
      <c r="H363" t="s">
        <v>131</v>
      </c>
    </row>
    <row r="364" spans="1:8" x14ac:dyDescent="0.2">
      <c r="A364" s="5">
        <v>46113</v>
      </c>
      <c r="B364" t="s">
        <v>129</v>
      </c>
      <c r="C364" t="s">
        <v>118</v>
      </c>
      <c r="D364" t="s">
        <v>87</v>
      </c>
      <c r="F364" s="6">
        <v>6689</v>
      </c>
      <c r="G364" t="s">
        <v>46</v>
      </c>
      <c r="H364" t="s">
        <v>131</v>
      </c>
    </row>
    <row r="365" spans="1:8" x14ac:dyDescent="0.2">
      <c r="A365" s="5">
        <v>46113</v>
      </c>
      <c r="B365" t="s">
        <v>129</v>
      </c>
      <c r="C365" t="s">
        <v>118</v>
      </c>
      <c r="D365" t="s">
        <v>91</v>
      </c>
      <c r="F365" s="6">
        <v>4654</v>
      </c>
      <c r="G365" t="s">
        <v>46</v>
      </c>
      <c r="H365" t="s">
        <v>131</v>
      </c>
    </row>
    <row r="366" spans="1:8" x14ac:dyDescent="0.2">
      <c r="A366" s="5">
        <v>46113</v>
      </c>
      <c r="B366" t="s">
        <v>134</v>
      </c>
      <c r="C366" t="s">
        <v>122</v>
      </c>
      <c r="D366" t="s">
        <v>54</v>
      </c>
      <c r="E366" t="s">
        <v>130</v>
      </c>
      <c r="F366" s="6">
        <v>617104</v>
      </c>
      <c r="G366" t="s">
        <v>135</v>
      </c>
      <c r="H366" t="s">
        <v>131</v>
      </c>
    </row>
    <row r="367" spans="1:8" x14ac:dyDescent="0.2">
      <c r="A367" s="5">
        <v>46113</v>
      </c>
      <c r="B367" t="s">
        <v>134</v>
      </c>
      <c r="C367" t="s">
        <v>122</v>
      </c>
      <c r="D367" t="s">
        <v>54</v>
      </c>
      <c r="E367" t="s">
        <v>132</v>
      </c>
      <c r="F367" s="6">
        <v>319350</v>
      </c>
      <c r="G367" t="s">
        <v>135</v>
      </c>
      <c r="H367" t="s">
        <v>131</v>
      </c>
    </row>
    <row r="368" spans="1:8" x14ac:dyDescent="0.2">
      <c r="A368" s="5">
        <v>46113</v>
      </c>
      <c r="B368" t="s">
        <v>134</v>
      </c>
      <c r="C368" t="s">
        <v>122</v>
      </c>
      <c r="D368" t="s">
        <v>58</v>
      </c>
      <c r="E368" t="s">
        <v>133</v>
      </c>
      <c r="F368" s="6">
        <v>91504</v>
      </c>
      <c r="G368" t="s">
        <v>135</v>
      </c>
      <c r="H368" t="s">
        <v>131</v>
      </c>
    </row>
    <row r="369" spans="1:8" x14ac:dyDescent="0.2">
      <c r="A369" s="5">
        <v>46113</v>
      </c>
      <c r="B369" t="s">
        <v>134</v>
      </c>
      <c r="C369" t="s">
        <v>97</v>
      </c>
      <c r="D369" t="s">
        <v>67</v>
      </c>
      <c r="F369" s="6">
        <v>114009</v>
      </c>
      <c r="G369" t="s">
        <v>135</v>
      </c>
      <c r="H369" t="s">
        <v>131</v>
      </c>
    </row>
    <row r="370" spans="1:8" x14ac:dyDescent="0.2">
      <c r="A370" s="5">
        <v>46113</v>
      </c>
      <c r="B370" t="s">
        <v>134</v>
      </c>
      <c r="C370" t="s">
        <v>97</v>
      </c>
      <c r="D370" t="s">
        <v>71</v>
      </c>
      <c r="F370" s="6">
        <v>24609</v>
      </c>
      <c r="G370" t="s">
        <v>135</v>
      </c>
      <c r="H370" t="s">
        <v>131</v>
      </c>
    </row>
    <row r="371" spans="1:8" x14ac:dyDescent="0.2">
      <c r="A371" s="5">
        <v>46113</v>
      </c>
      <c r="B371" t="s">
        <v>134</v>
      </c>
      <c r="C371" t="s">
        <v>97</v>
      </c>
      <c r="D371" t="s">
        <v>73</v>
      </c>
      <c r="F371" s="6">
        <v>40809</v>
      </c>
      <c r="G371" t="s">
        <v>135</v>
      </c>
      <c r="H371" t="s">
        <v>131</v>
      </c>
    </row>
    <row r="372" spans="1:8" x14ac:dyDescent="0.2">
      <c r="A372" s="5">
        <v>46113</v>
      </c>
      <c r="B372" t="s">
        <v>134</v>
      </c>
      <c r="C372" t="s">
        <v>97</v>
      </c>
      <c r="D372" t="s">
        <v>75</v>
      </c>
      <c r="F372" s="6">
        <v>11274</v>
      </c>
      <c r="G372" t="s">
        <v>135</v>
      </c>
      <c r="H372" t="s">
        <v>131</v>
      </c>
    </row>
    <row r="373" spans="1:8" x14ac:dyDescent="0.2">
      <c r="A373" s="5">
        <v>46113</v>
      </c>
      <c r="B373" t="s">
        <v>134</v>
      </c>
      <c r="C373" t="s">
        <v>97</v>
      </c>
      <c r="D373" t="s">
        <v>76</v>
      </c>
      <c r="F373" s="6">
        <v>6483</v>
      </c>
      <c r="G373" t="s">
        <v>135</v>
      </c>
      <c r="H373" t="s">
        <v>131</v>
      </c>
    </row>
    <row r="374" spans="1:8" x14ac:dyDescent="0.2">
      <c r="A374" s="5">
        <v>46113</v>
      </c>
      <c r="B374" t="s">
        <v>134</v>
      </c>
      <c r="C374" t="s">
        <v>97</v>
      </c>
      <c r="D374" t="s">
        <v>79</v>
      </c>
      <c r="F374" s="6">
        <v>8148</v>
      </c>
      <c r="G374" t="s">
        <v>135</v>
      </c>
      <c r="H374" t="s">
        <v>131</v>
      </c>
    </row>
    <row r="375" spans="1:8" x14ac:dyDescent="0.2">
      <c r="A375" s="5">
        <v>46113</v>
      </c>
      <c r="B375" t="s">
        <v>134</v>
      </c>
      <c r="C375" t="s">
        <v>97</v>
      </c>
      <c r="D375" t="s">
        <v>87</v>
      </c>
      <c r="F375" s="6">
        <v>3191</v>
      </c>
      <c r="G375" t="s">
        <v>135</v>
      </c>
      <c r="H375" t="s">
        <v>131</v>
      </c>
    </row>
    <row r="376" spans="1:8" x14ac:dyDescent="0.2">
      <c r="A376" s="5">
        <v>46113</v>
      </c>
      <c r="B376" t="s">
        <v>134</v>
      </c>
      <c r="C376" t="s">
        <v>97</v>
      </c>
      <c r="D376" t="s">
        <v>91</v>
      </c>
      <c r="F376" s="6">
        <v>2273</v>
      </c>
      <c r="G376" t="s">
        <v>135</v>
      </c>
      <c r="H376" t="s">
        <v>131</v>
      </c>
    </row>
    <row r="377" spans="1:8" x14ac:dyDescent="0.2">
      <c r="A377" s="5">
        <v>46113</v>
      </c>
      <c r="B377" t="s">
        <v>134</v>
      </c>
      <c r="C377" t="s">
        <v>102</v>
      </c>
      <c r="D377" t="s">
        <v>67</v>
      </c>
      <c r="F377" s="6">
        <v>52009</v>
      </c>
      <c r="G377" t="s">
        <v>135</v>
      </c>
      <c r="H377" t="s">
        <v>131</v>
      </c>
    </row>
    <row r="378" spans="1:8" x14ac:dyDescent="0.2">
      <c r="A378" s="5">
        <v>46113</v>
      </c>
      <c r="B378" t="s">
        <v>134</v>
      </c>
      <c r="C378" t="s">
        <v>102</v>
      </c>
      <c r="D378" t="s">
        <v>71</v>
      </c>
      <c r="F378" s="6">
        <v>11182</v>
      </c>
      <c r="G378" t="s">
        <v>135</v>
      </c>
      <c r="H378" t="s">
        <v>131</v>
      </c>
    </row>
    <row r="379" spans="1:8" x14ac:dyDescent="0.2">
      <c r="A379" s="5">
        <v>46113</v>
      </c>
      <c r="B379" t="s">
        <v>134</v>
      </c>
      <c r="C379" t="s">
        <v>102</v>
      </c>
      <c r="D379" t="s">
        <v>75</v>
      </c>
      <c r="F379" s="6">
        <v>5127</v>
      </c>
      <c r="G379" t="s">
        <v>135</v>
      </c>
      <c r="H379" t="s">
        <v>131</v>
      </c>
    </row>
    <row r="380" spans="1:8" x14ac:dyDescent="0.2">
      <c r="A380" s="5">
        <v>46113</v>
      </c>
      <c r="B380" t="s">
        <v>134</v>
      </c>
      <c r="C380" t="s">
        <v>102</v>
      </c>
      <c r="D380" t="s">
        <v>76</v>
      </c>
      <c r="F380" s="6">
        <v>2958</v>
      </c>
      <c r="G380" t="s">
        <v>135</v>
      </c>
      <c r="H380" t="s">
        <v>131</v>
      </c>
    </row>
    <row r="381" spans="1:8" x14ac:dyDescent="0.2">
      <c r="A381" s="5">
        <v>46113</v>
      </c>
      <c r="B381" t="s">
        <v>134</v>
      </c>
      <c r="C381" t="s">
        <v>102</v>
      </c>
      <c r="D381" t="s">
        <v>79</v>
      </c>
      <c r="F381" s="6">
        <v>3831</v>
      </c>
      <c r="G381" t="s">
        <v>135</v>
      </c>
      <c r="H381" t="s">
        <v>131</v>
      </c>
    </row>
    <row r="382" spans="1:8" x14ac:dyDescent="0.2">
      <c r="A382" s="5">
        <v>46113</v>
      </c>
      <c r="B382" t="s">
        <v>134</v>
      </c>
      <c r="C382" t="s">
        <v>102</v>
      </c>
      <c r="D382" t="s">
        <v>81</v>
      </c>
      <c r="F382" s="6">
        <v>108449</v>
      </c>
      <c r="G382" t="s">
        <v>135</v>
      </c>
      <c r="H382" t="s">
        <v>131</v>
      </c>
    </row>
    <row r="383" spans="1:8" x14ac:dyDescent="0.2">
      <c r="A383" s="5">
        <v>46113</v>
      </c>
      <c r="B383" t="s">
        <v>134</v>
      </c>
      <c r="C383" t="s">
        <v>102</v>
      </c>
      <c r="D383" t="s">
        <v>87</v>
      </c>
      <c r="F383" s="6">
        <v>1552</v>
      </c>
      <c r="G383" t="s">
        <v>135</v>
      </c>
      <c r="H383" t="s">
        <v>131</v>
      </c>
    </row>
    <row r="384" spans="1:8" x14ac:dyDescent="0.2">
      <c r="A384" s="5">
        <v>46113</v>
      </c>
      <c r="B384" t="s">
        <v>134</v>
      </c>
      <c r="C384" t="s">
        <v>102</v>
      </c>
      <c r="D384" t="s">
        <v>91</v>
      </c>
      <c r="F384" s="6">
        <v>1063</v>
      </c>
      <c r="G384" t="s">
        <v>135</v>
      </c>
      <c r="H384" t="s">
        <v>131</v>
      </c>
    </row>
    <row r="385" spans="1:8" x14ac:dyDescent="0.2">
      <c r="A385" s="5">
        <v>46113</v>
      </c>
      <c r="B385" t="s">
        <v>134</v>
      </c>
      <c r="C385" t="s">
        <v>106</v>
      </c>
      <c r="D385" t="s">
        <v>65</v>
      </c>
      <c r="F385" s="6">
        <v>23727</v>
      </c>
      <c r="G385" t="s">
        <v>135</v>
      </c>
      <c r="H385" t="s">
        <v>131</v>
      </c>
    </row>
    <row r="386" spans="1:8" x14ac:dyDescent="0.2">
      <c r="A386" s="5">
        <v>46113</v>
      </c>
      <c r="B386" t="s">
        <v>134</v>
      </c>
      <c r="C386" t="s">
        <v>106</v>
      </c>
      <c r="D386" t="s">
        <v>67</v>
      </c>
      <c r="F386" s="6">
        <v>59776</v>
      </c>
      <c r="G386" t="s">
        <v>135</v>
      </c>
      <c r="H386" t="s">
        <v>131</v>
      </c>
    </row>
    <row r="387" spans="1:8" x14ac:dyDescent="0.2">
      <c r="A387" s="5">
        <v>46113</v>
      </c>
      <c r="B387" t="s">
        <v>134</v>
      </c>
      <c r="C387" t="s">
        <v>106</v>
      </c>
      <c r="D387" t="s">
        <v>71</v>
      </c>
      <c r="F387" s="6">
        <v>11796</v>
      </c>
      <c r="G387" t="s">
        <v>135</v>
      </c>
      <c r="H387" t="s">
        <v>131</v>
      </c>
    </row>
    <row r="388" spans="1:8" x14ac:dyDescent="0.2">
      <c r="A388" s="5">
        <v>46113</v>
      </c>
      <c r="B388" t="s">
        <v>134</v>
      </c>
      <c r="C388" t="s">
        <v>106</v>
      </c>
      <c r="D388" t="s">
        <v>75</v>
      </c>
      <c r="F388" s="6">
        <v>5713</v>
      </c>
      <c r="G388" t="s">
        <v>135</v>
      </c>
      <c r="H388" t="s">
        <v>131</v>
      </c>
    </row>
    <row r="389" spans="1:8" x14ac:dyDescent="0.2">
      <c r="A389" s="5">
        <v>46113</v>
      </c>
      <c r="B389" t="s">
        <v>134</v>
      </c>
      <c r="C389" t="s">
        <v>106</v>
      </c>
      <c r="D389" t="s">
        <v>76</v>
      </c>
      <c r="F389" s="6">
        <v>3387</v>
      </c>
      <c r="G389" t="s">
        <v>135</v>
      </c>
      <c r="H389" t="s">
        <v>131</v>
      </c>
    </row>
    <row r="390" spans="1:8" x14ac:dyDescent="0.2">
      <c r="A390" s="5">
        <v>46113</v>
      </c>
      <c r="B390" t="s">
        <v>134</v>
      </c>
      <c r="C390" t="s">
        <v>106</v>
      </c>
      <c r="D390" t="s">
        <v>79</v>
      </c>
      <c r="F390" s="6">
        <v>2330</v>
      </c>
      <c r="G390" t="s">
        <v>135</v>
      </c>
      <c r="H390" t="s">
        <v>131</v>
      </c>
    </row>
    <row r="391" spans="1:8" x14ac:dyDescent="0.2">
      <c r="A391" s="5">
        <v>46113</v>
      </c>
      <c r="B391" t="s">
        <v>134</v>
      </c>
      <c r="C391" t="s">
        <v>106</v>
      </c>
      <c r="D391" t="s">
        <v>87</v>
      </c>
      <c r="F391" s="6">
        <v>1737</v>
      </c>
      <c r="G391" t="s">
        <v>135</v>
      </c>
      <c r="H391" t="s">
        <v>131</v>
      </c>
    </row>
    <row r="392" spans="1:8" x14ac:dyDescent="0.2">
      <c r="A392" s="5">
        <v>46113</v>
      </c>
      <c r="B392" t="s">
        <v>134</v>
      </c>
      <c r="C392" t="s">
        <v>106</v>
      </c>
      <c r="D392" t="s">
        <v>91</v>
      </c>
      <c r="F392" s="6">
        <v>1177</v>
      </c>
      <c r="G392" t="s">
        <v>135</v>
      </c>
      <c r="H392" t="s">
        <v>131</v>
      </c>
    </row>
    <row r="393" spans="1:8" x14ac:dyDescent="0.2">
      <c r="A393" s="5">
        <v>46113</v>
      </c>
      <c r="B393" t="s">
        <v>134</v>
      </c>
      <c r="C393" t="s">
        <v>110</v>
      </c>
      <c r="D393" t="s">
        <v>61</v>
      </c>
      <c r="F393" s="6">
        <v>181932</v>
      </c>
      <c r="G393" t="s">
        <v>135</v>
      </c>
      <c r="H393" t="s">
        <v>131</v>
      </c>
    </row>
    <row r="394" spans="1:8" x14ac:dyDescent="0.2">
      <c r="A394" s="5">
        <v>46113</v>
      </c>
      <c r="B394" t="s">
        <v>134</v>
      </c>
      <c r="C394" t="s">
        <v>110</v>
      </c>
      <c r="D394" t="s">
        <v>67</v>
      </c>
      <c r="F394" s="6">
        <v>168507</v>
      </c>
      <c r="G394" t="s">
        <v>135</v>
      </c>
      <c r="H394" t="s">
        <v>131</v>
      </c>
    </row>
    <row r="395" spans="1:8" x14ac:dyDescent="0.2">
      <c r="A395" s="5">
        <v>46113</v>
      </c>
      <c r="B395" t="s">
        <v>134</v>
      </c>
      <c r="C395" t="s">
        <v>110</v>
      </c>
      <c r="D395" t="s">
        <v>71</v>
      </c>
      <c r="F395" s="6">
        <v>37362</v>
      </c>
      <c r="G395" t="s">
        <v>135</v>
      </c>
      <c r="H395" t="s">
        <v>131</v>
      </c>
    </row>
    <row r="396" spans="1:8" x14ac:dyDescent="0.2">
      <c r="A396" s="5">
        <v>46113</v>
      </c>
      <c r="B396" t="s">
        <v>134</v>
      </c>
      <c r="C396" t="s">
        <v>110</v>
      </c>
      <c r="D396" t="s">
        <v>75</v>
      </c>
      <c r="F396" s="6">
        <v>17481</v>
      </c>
      <c r="G396" t="s">
        <v>135</v>
      </c>
      <c r="H396" t="s">
        <v>131</v>
      </c>
    </row>
    <row r="397" spans="1:8" x14ac:dyDescent="0.2">
      <c r="A397" s="5">
        <v>46113</v>
      </c>
      <c r="B397" t="s">
        <v>134</v>
      </c>
      <c r="C397" t="s">
        <v>110</v>
      </c>
      <c r="D397" t="s">
        <v>76</v>
      </c>
      <c r="F397" s="6">
        <v>10412</v>
      </c>
      <c r="G397" t="s">
        <v>135</v>
      </c>
      <c r="H397" t="s">
        <v>131</v>
      </c>
    </row>
    <row r="398" spans="1:8" x14ac:dyDescent="0.2">
      <c r="A398" s="5">
        <v>46113</v>
      </c>
      <c r="B398" t="s">
        <v>134</v>
      </c>
      <c r="C398" t="s">
        <v>110</v>
      </c>
      <c r="D398" t="s">
        <v>79</v>
      </c>
      <c r="F398" s="6">
        <v>6984</v>
      </c>
      <c r="G398" t="s">
        <v>135</v>
      </c>
      <c r="H398" t="s">
        <v>131</v>
      </c>
    </row>
    <row r="399" spans="1:8" x14ac:dyDescent="0.2">
      <c r="A399" s="5">
        <v>46113</v>
      </c>
      <c r="B399" t="s">
        <v>134</v>
      </c>
      <c r="C399" t="s">
        <v>110</v>
      </c>
      <c r="D399" t="s">
        <v>87</v>
      </c>
      <c r="F399" s="6">
        <v>5334</v>
      </c>
      <c r="G399" t="s">
        <v>135</v>
      </c>
      <c r="H399" t="s">
        <v>131</v>
      </c>
    </row>
    <row r="400" spans="1:8" x14ac:dyDescent="0.2">
      <c r="A400" s="5">
        <v>46113</v>
      </c>
      <c r="B400" t="s">
        <v>134</v>
      </c>
      <c r="C400" t="s">
        <v>110</v>
      </c>
      <c r="D400" t="s">
        <v>89</v>
      </c>
      <c r="F400" s="6">
        <v>30449</v>
      </c>
      <c r="G400" t="s">
        <v>135</v>
      </c>
      <c r="H400" t="s">
        <v>131</v>
      </c>
    </row>
    <row r="401" spans="1:8" x14ac:dyDescent="0.2">
      <c r="A401" s="5">
        <v>46113</v>
      </c>
      <c r="B401" t="s">
        <v>134</v>
      </c>
      <c r="C401" t="s">
        <v>110</v>
      </c>
      <c r="D401" t="s">
        <v>91</v>
      </c>
      <c r="F401" s="6">
        <v>3508</v>
      </c>
      <c r="G401" t="s">
        <v>135</v>
      </c>
      <c r="H401" t="s">
        <v>131</v>
      </c>
    </row>
    <row r="402" spans="1:8" x14ac:dyDescent="0.2">
      <c r="A402" s="5">
        <v>46113</v>
      </c>
      <c r="B402" t="s">
        <v>134</v>
      </c>
      <c r="C402" t="s">
        <v>114</v>
      </c>
      <c r="D402" t="s">
        <v>67</v>
      </c>
      <c r="F402" s="6">
        <v>44216</v>
      </c>
      <c r="G402" t="s">
        <v>135</v>
      </c>
      <c r="H402" t="s">
        <v>131</v>
      </c>
    </row>
    <row r="403" spans="1:8" x14ac:dyDescent="0.2">
      <c r="A403" s="5">
        <v>46113</v>
      </c>
      <c r="B403" t="s">
        <v>134</v>
      </c>
      <c r="C403" t="s">
        <v>114</v>
      </c>
      <c r="D403" t="s">
        <v>71</v>
      </c>
      <c r="F403" s="6">
        <v>9270</v>
      </c>
      <c r="G403" t="s">
        <v>135</v>
      </c>
      <c r="H403" t="s">
        <v>131</v>
      </c>
    </row>
    <row r="404" spans="1:8" x14ac:dyDescent="0.2">
      <c r="A404" s="5">
        <v>46113</v>
      </c>
      <c r="B404" t="s">
        <v>134</v>
      </c>
      <c r="C404" t="s">
        <v>114</v>
      </c>
      <c r="D404" t="s">
        <v>75</v>
      </c>
      <c r="F404" s="6">
        <v>4546</v>
      </c>
      <c r="G404" t="s">
        <v>135</v>
      </c>
      <c r="H404" t="s">
        <v>131</v>
      </c>
    </row>
    <row r="405" spans="1:8" x14ac:dyDescent="0.2">
      <c r="A405" s="5">
        <v>46113</v>
      </c>
      <c r="B405" t="s">
        <v>134</v>
      </c>
      <c r="C405" t="s">
        <v>114</v>
      </c>
      <c r="D405" t="s">
        <v>76</v>
      </c>
      <c r="F405" s="6">
        <v>2781</v>
      </c>
      <c r="G405" t="s">
        <v>135</v>
      </c>
      <c r="H405" t="s">
        <v>131</v>
      </c>
    </row>
    <row r="406" spans="1:8" x14ac:dyDescent="0.2">
      <c r="A406" s="5">
        <v>46113</v>
      </c>
      <c r="B406" t="s">
        <v>134</v>
      </c>
      <c r="C406" t="s">
        <v>114</v>
      </c>
      <c r="D406" t="s">
        <v>79</v>
      </c>
      <c r="F406" s="6">
        <v>1774</v>
      </c>
      <c r="G406" t="s">
        <v>135</v>
      </c>
      <c r="H406" t="s">
        <v>131</v>
      </c>
    </row>
    <row r="407" spans="1:8" x14ac:dyDescent="0.2">
      <c r="A407" s="5">
        <v>46113</v>
      </c>
      <c r="B407" t="s">
        <v>134</v>
      </c>
      <c r="C407" t="s">
        <v>114</v>
      </c>
      <c r="D407" t="s">
        <v>87</v>
      </c>
      <c r="F407" s="6">
        <v>1393</v>
      </c>
      <c r="G407" t="s">
        <v>135</v>
      </c>
      <c r="H407" t="s">
        <v>131</v>
      </c>
    </row>
    <row r="408" spans="1:8" x14ac:dyDescent="0.2">
      <c r="A408" s="5">
        <v>46113</v>
      </c>
      <c r="B408" t="s">
        <v>134</v>
      </c>
      <c r="C408" t="s">
        <v>114</v>
      </c>
      <c r="D408" t="s">
        <v>91</v>
      </c>
      <c r="F408" s="6">
        <v>957</v>
      </c>
      <c r="G408" t="s">
        <v>135</v>
      </c>
      <c r="H408" t="s">
        <v>131</v>
      </c>
    </row>
    <row r="409" spans="1:8" x14ac:dyDescent="0.2">
      <c r="A409" s="5">
        <v>46113</v>
      </c>
      <c r="B409" t="s">
        <v>134</v>
      </c>
      <c r="C409" t="s">
        <v>118</v>
      </c>
      <c r="D409" t="s">
        <v>67</v>
      </c>
      <c r="F409" s="6">
        <v>77437</v>
      </c>
      <c r="G409" t="s">
        <v>135</v>
      </c>
      <c r="H409" t="s">
        <v>131</v>
      </c>
    </row>
    <row r="410" spans="1:8" x14ac:dyDescent="0.2">
      <c r="A410" s="5">
        <v>46113</v>
      </c>
      <c r="B410" t="s">
        <v>134</v>
      </c>
      <c r="C410" t="s">
        <v>118</v>
      </c>
      <c r="D410" t="s">
        <v>71</v>
      </c>
      <c r="F410" s="6">
        <v>16854</v>
      </c>
      <c r="G410" t="s">
        <v>135</v>
      </c>
      <c r="H410" t="s">
        <v>131</v>
      </c>
    </row>
    <row r="411" spans="1:8" x14ac:dyDescent="0.2">
      <c r="A411" s="5">
        <v>46113</v>
      </c>
      <c r="B411" t="s">
        <v>134</v>
      </c>
      <c r="C411" t="s">
        <v>118</v>
      </c>
      <c r="D411" t="s">
        <v>75</v>
      </c>
      <c r="F411" s="6">
        <v>7037</v>
      </c>
      <c r="G411" t="s">
        <v>135</v>
      </c>
      <c r="H411" t="s">
        <v>131</v>
      </c>
    </row>
    <row r="412" spans="1:8" x14ac:dyDescent="0.2">
      <c r="A412" s="5">
        <v>46113</v>
      </c>
      <c r="B412" t="s">
        <v>134</v>
      </c>
      <c r="C412" t="s">
        <v>118</v>
      </c>
      <c r="D412" t="s">
        <v>76</v>
      </c>
      <c r="F412" s="6">
        <v>4580</v>
      </c>
      <c r="G412" t="s">
        <v>135</v>
      </c>
      <c r="H412" t="s">
        <v>131</v>
      </c>
    </row>
    <row r="413" spans="1:8" x14ac:dyDescent="0.2">
      <c r="A413" s="5">
        <v>46113</v>
      </c>
      <c r="B413" t="s">
        <v>134</v>
      </c>
      <c r="C413" t="s">
        <v>118</v>
      </c>
      <c r="D413" t="s">
        <v>79</v>
      </c>
      <c r="F413" s="6">
        <v>3034</v>
      </c>
      <c r="G413" t="s">
        <v>135</v>
      </c>
      <c r="H413" t="s">
        <v>131</v>
      </c>
    </row>
    <row r="414" spans="1:8" x14ac:dyDescent="0.2">
      <c r="A414" s="5">
        <v>46113</v>
      </c>
      <c r="B414" t="s">
        <v>134</v>
      </c>
      <c r="C414" t="s">
        <v>118</v>
      </c>
      <c r="D414" t="s">
        <v>83</v>
      </c>
      <c r="F414" s="6">
        <v>45261</v>
      </c>
      <c r="G414" t="s">
        <v>135</v>
      </c>
      <c r="H414" t="s">
        <v>131</v>
      </c>
    </row>
    <row r="415" spans="1:8" x14ac:dyDescent="0.2">
      <c r="A415" s="5">
        <v>46113</v>
      </c>
      <c r="B415" t="s">
        <v>134</v>
      </c>
      <c r="C415" t="s">
        <v>118</v>
      </c>
      <c r="D415" t="s">
        <v>85</v>
      </c>
      <c r="F415" s="6">
        <v>23192</v>
      </c>
      <c r="G415" t="s">
        <v>135</v>
      </c>
      <c r="H415" t="s">
        <v>131</v>
      </c>
    </row>
    <row r="416" spans="1:8" x14ac:dyDescent="0.2">
      <c r="A416" s="5">
        <v>46113</v>
      </c>
      <c r="B416" t="s">
        <v>134</v>
      </c>
      <c r="C416" t="s">
        <v>118</v>
      </c>
      <c r="D416" t="s">
        <v>87</v>
      </c>
      <c r="F416" s="6">
        <v>2164</v>
      </c>
      <c r="G416" t="s">
        <v>135</v>
      </c>
      <c r="H416" t="s">
        <v>131</v>
      </c>
    </row>
    <row r="417" spans="1:8" x14ac:dyDescent="0.2">
      <c r="A417" s="5">
        <v>46113</v>
      </c>
      <c r="B417" t="s">
        <v>134</v>
      </c>
      <c r="C417" t="s">
        <v>118</v>
      </c>
      <c r="D417" t="s">
        <v>91</v>
      </c>
      <c r="F417" s="6">
        <v>1506</v>
      </c>
      <c r="G417" t="s">
        <v>135</v>
      </c>
      <c r="H417" t="s">
        <v>131</v>
      </c>
    </row>
    <row r="418" spans="1:8" x14ac:dyDescent="0.2">
      <c r="A418" s="5">
        <v>46143</v>
      </c>
      <c r="B418" t="s">
        <v>129</v>
      </c>
      <c r="C418" t="s">
        <v>122</v>
      </c>
      <c r="D418" t="s">
        <v>54</v>
      </c>
      <c r="E418" t="s">
        <v>130</v>
      </c>
      <c r="F418" s="6">
        <v>1854650</v>
      </c>
      <c r="G418" t="s">
        <v>46</v>
      </c>
      <c r="H418" t="s">
        <v>131</v>
      </c>
    </row>
    <row r="419" spans="1:8" x14ac:dyDescent="0.2">
      <c r="A419" s="5">
        <v>46143</v>
      </c>
      <c r="B419" t="s">
        <v>129</v>
      </c>
      <c r="C419" t="s">
        <v>122</v>
      </c>
      <c r="D419" t="s">
        <v>54</v>
      </c>
      <c r="E419" t="s">
        <v>132</v>
      </c>
      <c r="F419" s="6">
        <v>1005286</v>
      </c>
      <c r="G419" t="s">
        <v>46</v>
      </c>
      <c r="H419" t="s">
        <v>131</v>
      </c>
    </row>
    <row r="420" spans="1:8" x14ac:dyDescent="0.2">
      <c r="A420" s="5">
        <v>46143</v>
      </c>
      <c r="B420" t="s">
        <v>129</v>
      </c>
      <c r="C420" t="s">
        <v>122</v>
      </c>
      <c r="D420" t="s">
        <v>58</v>
      </c>
      <c r="E420" t="s">
        <v>133</v>
      </c>
      <c r="F420" s="6">
        <v>288310</v>
      </c>
      <c r="G420" t="s">
        <v>46</v>
      </c>
      <c r="H420" t="s">
        <v>131</v>
      </c>
    </row>
    <row r="421" spans="1:8" x14ac:dyDescent="0.2">
      <c r="A421" s="5">
        <v>46143</v>
      </c>
      <c r="B421" t="s">
        <v>129</v>
      </c>
      <c r="C421" t="s">
        <v>97</v>
      </c>
      <c r="D421" t="s">
        <v>67</v>
      </c>
      <c r="F421" s="6">
        <v>330104</v>
      </c>
      <c r="G421" t="s">
        <v>46</v>
      </c>
      <c r="H421" t="s">
        <v>131</v>
      </c>
    </row>
    <row r="422" spans="1:8" x14ac:dyDescent="0.2">
      <c r="A422" s="5">
        <v>46143</v>
      </c>
      <c r="B422" t="s">
        <v>129</v>
      </c>
      <c r="C422" t="s">
        <v>97</v>
      </c>
      <c r="D422" t="s">
        <v>71</v>
      </c>
      <c r="F422" s="6">
        <v>73126</v>
      </c>
      <c r="G422" t="s">
        <v>46</v>
      </c>
      <c r="H422" t="s">
        <v>131</v>
      </c>
    </row>
    <row r="423" spans="1:8" x14ac:dyDescent="0.2">
      <c r="A423" s="5">
        <v>46143</v>
      </c>
      <c r="B423" t="s">
        <v>129</v>
      </c>
      <c r="C423" t="s">
        <v>97</v>
      </c>
      <c r="D423" t="s">
        <v>73</v>
      </c>
      <c r="F423" s="6">
        <v>121730</v>
      </c>
      <c r="G423" t="s">
        <v>46</v>
      </c>
      <c r="H423" t="s">
        <v>131</v>
      </c>
    </row>
    <row r="424" spans="1:8" x14ac:dyDescent="0.2">
      <c r="A424" s="5">
        <v>46143</v>
      </c>
      <c r="B424" t="s">
        <v>129</v>
      </c>
      <c r="C424" t="s">
        <v>97</v>
      </c>
      <c r="D424" t="s">
        <v>75</v>
      </c>
      <c r="F424" s="6">
        <v>34352</v>
      </c>
      <c r="G424" t="s">
        <v>46</v>
      </c>
      <c r="H424" t="s">
        <v>131</v>
      </c>
    </row>
    <row r="425" spans="1:8" x14ac:dyDescent="0.2">
      <c r="A425" s="5">
        <v>46143</v>
      </c>
      <c r="B425" t="s">
        <v>129</v>
      </c>
      <c r="C425" t="s">
        <v>97</v>
      </c>
      <c r="D425" t="s">
        <v>76</v>
      </c>
      <c r="F425" s="6">
        <v>19706</v>
      </c>
      <c r="G425" t="s">
        <v>46</v>
      </c>
      <c r="H425" t="s">
        <v>131</v>
      </c>
    </row>
    <row r="426" spans="1:8" x14ac:dyDescent="0.2">
      <c r="A426" s="5">
        <v>46143</v>
      </c>
      <c r="B426" t="s">
        <v>129</v>
      </c>
      <c r="C426" t="s">
        <v>97</v>
      </c>
      <c r="D426" t="s">
        <v>79</v>
      </c>
      <c r="F426" s="6">
        <v>27679</v>
      </c>
      <c r="G426" t="s">
        <v>46</v>
      </c>
      <c r="H426" t="s">
        <v>131</v>
      </c>
    </row>
    <row r="427" spans="1:8" x14ac:dyDescent="0.2">
      <c r="A427" s="5">
        <v>46143</v>
      </c>
      <c r="B427" t="s">
        <v>129</v>
      </c>
      <c r="C427" t="s">
        <v>97</v>
      </c>
      <c r="D427" t="s">
        <v>87</v>
      </c>
      <c r="F427" s="6">
        <v>10783</v>
      </c>
      <c r="G427" t="s">
        <v>46</v>
      </c>
      <c r="H427" t="s">
        <v>131</v>
      </c>
    </row>
    <row r="428" spans="1:8" x14ac:dyDescent="0.2">
      <c r="A428" s="5">
        <v>46143</v>
      </c>
      <c r="B428" t="s">
        <v>129</v>
      </c>
      <c r="C428" t="s">
        <v>97</v>
      </c>
      <c r="D428" t="s">
        <v>91</v>
      </c>
      <c r="F428" s="6">
        <v>7207</v>
      </c>
      <c r="G428" t="s">
        <v>46</v>
      </c>
      <c r="H428" t="s">
        <v>131</v>
      </c>
    </row>
    <row r="429" spans="1:8" x14ac:dyDescent="0.2">
      <c r="A429" s="5">
        <v>46143</v>
      </c>
      <c r="B429" t="s">
        <v>129</v>
      </c>
      <c r="C429" t="s">
        <v>102</v>
      </c>
      <c r="D429" t="s">
        <v>67</v>
      </c>
      <c r="F429" s="6">
        <v>152950</v>
      </c>
      <c r="G429" t="s">
        <v>46</v>
      </c>
      <c r="H429" t="s">
        <v>131</v>
      </c>
    </row>
    <row r="430" spans="1:8" x14ac:dyDescent="0.2">
      <c r="A430" s="5">
        <v>46143</v>
      </c>
      <c r="B430" t="s">
        <v>129</v>
      </c>
      <c r="C430" t="s">
        <v>102</v>
      </c>
      <c r="D430" t="s">
        <v>71</v>
      </c>
      <c r="F430" s="6">
        <v>33483</v>
      </c>
      <c r="G430" t="s">
        <v>46</v>
      </c>
      <c r="H430" t="s">
        <v>131</v>
      </c>
    </row>
    <row r="431" spans="1:8" x14ac:dyDescent="0.2">
      <c r="A431" s="5">
        <v>46143</v>
      </c>
      <c r="B431" t="s">
        <v>129</v>
      </c>
      <c r="C431" t="s">
        <v>102</v>
      </c>
      <c r="D431" t="s">
        <v>75</v>
      </c>
      <c r="F431" s="6">
        <v>15742</v>
      </c>
      <c r="G431" t="s">
        <v>46</v>
      </c>
      <c r="H431" t="s">
        <v>131</v>
      </c>
    </row>
    <row r="432" spans="1:8" x14ac:dyDescent="0.2">
      <c r="A432" s="5">
        <v>46143</v>
      </c>
      <c r="B432" t="s">
        <v>129</v>
      </c>
      <c r="C432" t="s">
        <v>102</v>
      </c>
      <c r="D432" t="s">
        <v>76</v>
      </c>
      <c r="F432" s="6">
        <v>8875</v>
      </c>
      <c r="G432" t="s">
        <v>46</v>
      </c>
      <c r="H432" t="s">
        <v>131</v>
      </c>
    </row>
    <row r="433" spans="1:8" x14ac:dyDescent="0.2">
      <c r="A433" s="5">
        <v>46143</v>
      </c>
      <c r="B433" t="s">
        <v>129</v>
      </c>
      <c r="C433" t="s">
        <v>102</v>
      </c>
      <c r="D433" t="s">
        <v>79</v>
      </c>
      <c r="F433" s="6">
        <v>12011</v>
      </c>
      <c r="G433" t="s">
        <v>46</v>
      </c>
      <c r="H433" t="s">
        <v>131</v>
      </c>
    </row>
    <row r="434" spans="1:8" x14ac:dyDescent="0.2">
      <c r="A434" s="5">
        <v>46143</v>
      </c>
      <c r="B434" t="s">
        <v>129</v>
      </c>
      <c r="C434" t="s">
        <v>102</v>
      </c>
      <c r="D434" t="s">
        <v>81</v>
      </c>
      <c r="F434" s="6">
        <v>339299</v>
      </c>
      <c r="G434" t="s">
        <v>46</v>
      </c>
      <c r="H434" t="s">
        <v>131</v>
      </c>
    </row>
    <row r="435" spans="1:8" x14ac:dyDescent="0.2">
      <c r="A435" s="5">
        <v>46143</v>
      </c>
      <c r="B435" t="s">
        <v>129</v>
      </c>
      <c r="C435" t="s">
        <v>102</v>
      </c>
      <c r="D435" t="s">
        <v>87</v>
      </c>
      <c r="F435" s="6">
        <v>4723</v>
      </c>
      <c r="G435" t="s">
        <v>46</v>
      </c>
      <c r="H435" t="s">
        <v>131</v>
      </c>
    </row>
    <row r="436" spans="1:8" x14ac:dyDescent="0.2">
      <c r="A436" s="5">
        <v>46143</v>
      </c>
      <c r="B436" t="s">
        <v>129</v>
      </c>
      <c r="C436" t="s">
        <v>102</v>
      </c>
      <c r="D436" t="s">
        <v>91</v>
      </c>
      <c r="F436" s="6">
        <v>3057</v>
      </c>
      <c r="G436" t="s">
        <v>46</v>
      </c>
      <c r="H436" t="s">
        <v>131</v>
      </c>
    </row>
    <row r="437" spans="1:8" x14ac:dyDescent="0.2">
      <c r="A437" s="5">
        <v>46143</v>
      </c>
      <c r="B437" t="s">
        <v>129</v>
      </c>
      <c r="C437" t="s">
        <v>106</v>
      </c>
      <c r="D437" t="s">
        <v>65</v>
      </c>
      <c r="F437" s="6">
        <v>67653</v>
      </c>
      <c r="G437" t="s">
        <v>46</v>
      </c>
      <c r="H437" t="s">
        <v>131</v>
      </c>
    </row>
    <row r="438" spans="1:8" x14ac:dyDescent="0.2">
      <c r="A438" s="5">
        <v>46143</v>
      </c>
      <c r="B438" t="s">
        <v>129</v>
      </c>
      <c r="C438" t="s">
        <v>106</v>
      </c>
      <c r="D438" t="s">
        <v>67</v>
      </c>
      <c r="F438" s="6">
        <v>171830</v>
      </c>
      <c r="G438" t="s">
        <v>46</v>
      </c>
      <c r="H438" t="s">
        <v>131</v>
      </c>
    </row>
    <row r="439" spans="1:8" x14ac:dyDescent="0.2">
      <c r="A439" s="5">
        <v>46143</v>
      </c>
      <c r="B439" t="s">
        <v>129</v>
      </c>
      <c r="C439" t="s">
        <v>106</v>
      </c>
      <c r="D439" t="s">
        <v>71</v>
      </c>
      <c r="F439" s="6">
        <v>40139</v>
      </c>
      <c r="G439" t="s">
        <v>46</v>
      </c>
      <c r="H439" t="s">
        <v>131</v>
      </c>
    </row>
    <row r="440" spans="1:8" x14ac:dyDescent="0.2">
      <c r="A440" s="5">
        <v>46143</v>
      </c>
      <c r="B440" t="s">
        <v>129</v>
      </c>
      <c r="C440" t="s">
        <v>106</v>
      </c>
      <c r="D440" t="s">
        <v>75</v>
      </c>
      <c r="F440" s="6">
        <v>17448</v>
      </c>
      <c r="G440" t="s">
        <v>46</v>
      </c>
      <c r="H440" t="s">
        <v>131</v>
      </c>
    </row>
    <row r="441" spans="1:8" x14ac:dyDescent="0.2">
      <c r="A441" s="5">
        <v>46143</v>
      </c>
      <c r="B441" t="s">
        <v>129</v>
      </c>
      <c r="C441" t="s">
        <v>106</v>
      </c>
      <c r="D441" t="s">
        <v>76</v>
      </c>
      <c r="F441" s="6">
        <v>10430</v>
      </c>
      <c r="G441" t="s">
        <v>46</v>
      </c>
      <c r="H441" t="s">
        <v>131</v>
      </c>
    </row>
    <row r="442" spans="1:8" x14ac:dyDescent="0.2">
      <c r="A442" s="5">
        <v>46143</v>
      </c>
      <c r="B442" t="s">
        <v>129</v>
      </c>
      <c r="C442" t="s">
        <v>106</v>
      </c>
      <c r="D442" t="s">
        <v>79</v>
      </c>
      <c r="F442" s="6">
        <v>6972</v>
      </c>
      <c r="G442" t="s">
        <v>46</v>
      </c>
      <c r="H442" t="s">
        <v>131</v>
      </c>
    </row>
    <row r="443" spans="1:8" x14ac:dyDescent="0.2">
      <c r="A443" s="5">
        <v>46143</v>
      </c>
      <c r="B443" t="s">
        <v>129</v>
      </c>
      <c r="C443" t="s">
        <v>106</v>
      </c>
      <c r="D443" t="s">
        <v>87</v>
      </c>
      <c r="F443" s="6">
        <v>5212</v>
      </c>
      <c r="G443" t="s">
        <v>46</v>
      </c>
      <c r="H443" t="s">
        <v>131</v>
      </c>
    </row>
    <row r="444" spans="1:8" x14ac:dyDescent="0.2">
      <c r="A444" s="5">
        <v>46143</v>
      </c>
      <c r="B444" t="s">
        <v>129</v>
      </c>
      <c r="C444" t="s">
        <v>106</v>
      </c>
      <c r="D444" t="s">
        <v>91</v>
      </c>
      <c r="F444" s="6">
        <v>3637</v>
      </c>
      <c r="G444" t="s">
        <v>46</v>
      </c>
      <c r="H444" t="s">
        <v>131</v>
      </c>
    </row>
    <row r="445" spans="1:8" x14ac:dyDescent="0.2">
      <c r="A445" s="5">
        <v>46143</v>
      </c>
      <c r="B445" t="s">
        <v>129</v>
      </c>
      <c r="C445" t="s">
        <v>110</v>
      </c>
      <c r="D445" t="s">
        <v>61</v>
      </c>
      <c r="F445" s="6">
        <v>533319</v>
      </c>
      <c r="G445" t="s">
        <v>46</v>
      </c>
      <c r="H445" t="s">
        <v>131</v>
      </c>
    </row>
    <row r="446" spans="1:8" x14ac:dyDescent="0.2">
      <c r="A446" s="5">
        <v>46143</v>
      </c>
      <c r="B446" t="s">
        <v>129</v>
      </c>
      <c r="C446" t="s">
        <v>110</v>
      </c>
      <c r="D446" t="s">
        <v>67</v>
      </c>
      <c r="F446" s="6">
        <v>518329</v>
      </c>
      <c r="G446" t="s">
        <v>46</v>
      </c>
      <c r="H446" t="s">
        <v>131</v>
      </c>
    </row>
    <row r="447" spans="1:8" x14ac:dyDescent="0.2">
      <c r="A447" s="5">
        <v>46143</v>
      </c>
      <c r="B447" t="s">
        <v>129</v>
      </c>
      <c r="C447" t="s">
        <v>110</v>
      </c>
      <c r="D447" t="s">
        <v>71</v>
      </c>
      <c r="F447" s="6">
        <v>114603</v>
      </c>
      <c r="G447" t="s">
        <v>46</v>
      </c>
      <c r="H447" t="s">
        <v>131</v>
      </c>
    </row>
    <row r="448" spans="1:8" x14ac:dyDescent="0.2">
      <c r="A448" s="5">
        <v>46143</v>
      </c>
      <c r="B448" t="s">
        <v>129</v>
      </c>
      <c r="C448" t="s">
        <v>110</v>
      </c>
      <c r="D448" t="s">
        <v>75</v>
      </c>
      <c r="F448" s="6">
        <v>55100</v>
      </c>
      <c r="G448" t="s">
        <v>46</v>
      </c>
      <c r="H448" t="s">
        <v>131</v>
      </c>
    </row>
    <row r="449" spans="1:8" x14ac:dyDescent="0.2">
      <c r="A449" s="5">
        <v>46143</v>
      </c>
      <c r="B449" t="s">
        <v>129</v>
      </c>
      <c r="C449" t="s">
        <v>110</v>
      </c>
      <c r="D449" t="s">
        <v>76</v>
      </c>
      <c r="F449" s="6">
        <v>32819</v>
      </c>
      <c r="G449" t="s">
        <v>46</v>
      </c>
      <c r="H449" t="s">
        <v>131</v>
      </c>
    </row>
    <row r="450" spans="1:8" x14ac:dyDescent="0.2">
      <c r="A450" s="5">
        <v>46143</v>
      </c>
      <c r="B450" t="s">
        <v>129</v>
      </c>
      <c r="C450" t="s">
        <v>110</v>
      </c>
      <c r="D450" t="s">
        <v>79</v>
      </c>
      <c r="F450" s="6">
        <v>23749</v>
      </c>
      <c r="G450" t="s">
        <v>46</v>
      </c>
      <c r="H450" t="s">
        <v>131</v>
      </c>
    </row>
    <row r="451" spans="1:8" x14ac:dyDescent="0.2">
      <c r="A451" s="5">
        <v>46143</v>
      </c>
      <c r="B451" t="s">
        <v>129</v>
      </c>
      <c r="C451" t="s">
        <v>110</v>
      </c>
      <c r="D451" t="s">
        <v>87</v>
      </c>
      <c r="F451" s="6">
        <v>15447</v>
      </c>
      <c r="G451" t="s">
        <v>46</v>
      </c>
      <c r="H451" t="s">
        <v>131</v>
      </c>
    </row>
    <row r="452" spans="1:8" x14ac:dyDescent="0.2">
      <c r="A452" s="5">
        <v>46143</v>
      </c>
      <c r="B452" t="s">
        <v>129</v>
      </c>
      <c r="C452" t="s">
        <v>110</v>
      </c>
      <c r="D452" t="s">
        <v>89</v>
      </c>
      <c r="F452" s="6">
        <v>96304</v>
      </c>
      <c r="G452" t="s">
        <v>46</v>
      </c>
      <c r="H452" t="s">
        <v>131</v>
      </c>
    </row>
    <row r="453" spans="1:8" x14ac:dyDescent="0.2">
      <c r="A453" s="5">
        <v>46143</v>
      </c>
      <c r="B453" t="s">
        <v>129</v>
      </c>
      <c r="C453" t="s">
        <v>110</v>
      </c>
      <c r="D453" t="s">
        <v>91</v>
      </c>
      <c r="F453" s="6">
        <v>10123</v>
      </c>
      <c r="G453" t="s">
        <v>46</v>
      </c>
      <c r="H453" t="s">
        <v>131</v>
      </c>
    </row>
    <row r="454" spans="1:8" x14ac:dyDescent="0.2">
      <c r="A454" s="5">
        <v>46143</v>
      </c>
      <c r="B454" t="s">
        <v>129</v>
      </c>
      <c r="C454" t="s">
        <v>114</v>
      </c>
      <c r="D454" t="s">
        <v>67</v>
      </c>
      <c r="F454" s="6">
        <v>150230</v>
      </c>
      <c r="G454" t="s">
        <v>46</v>
      </c>
      <c r="H454" t="s">
        <v>131</v>
      </c>
    </row>
    <row r="455" spans="1:8" x14ac:dyDescent="0.2">
      <c r="A455" s="5">
        <v>46143</v>
      </c>
      <c r="B455" t="s">
        <v>129</v>
      </c>
      <c r="C455" t="s">
        <v>114</v>
      </c>
      <c r="D455" t="s">
        <v>71</v>
      </c>
      <c r="F455" s="6">
        <v>31499</v>
      </c>
      <c r="G455" t="s">
        <v>46</v>
      </c>
      <c r="H455" t="s">
        <v>131</v>
      </c>
    </row>
    <row r="456" spans="1:8" x14ac:dyDescent="0.2">
      <c r="A456" s="5">
        <v>46143</v>
      </c>
      <c r="B456" t="s">
        <v>129</v>
      </c>
      <c r="C456" t="s">
        <v>114</v>
      </c>
      <c r="D456" t="s">
        <v>75</v>
      </c>
      <c r="F456" s="6">
        <v>14669</v>
      </c>
      <c r="G456" t="s">
        <v>46</v>
      </c>
      <c r="H456" t="s">
        <v>131</v>
      </c>
    </row>
    <row r="457" spans="1:8" x14ac:dyDescent="0.2">
      <c r="A457" s="5">
        <v>46143</v>
      </c>
      <c r="B457" t="s">
        <v>129</v>
      </c>
      <c r="C457" t="s">
        <v>114</v>
      </c>
      <c r="D457" t="s">
        <v>76</v>
      </c>
      <c r="F457" s="6">
        <v>8944</v>
      </c>
      <c r="G457" t="s">
        <v>46</v>
      </c>
      <c r="H457" t="s">
        <v>131</v>
      </c>
    </row>
    <row r="458" spans="1:8" x14ac:dyDescent="0.2">
      <c r="A458" s="5">
        <v>46143</v>
      </c>
      <c r="B458" t="s">
        <v>129</v>
      </c>
      <c r="C458" t="s">
        <v>114</v>
      </c>
      <c r="D458" t="s">
        <v>79</v>
      </c>
      <c r="F458" s="6">
        <v>5754</v>
      </c>
      <c r="G458" t="s">
        <v>46</v>
      </c>
      <c r="H458" t="s">
        <v>131</v>
      </c>
    </row>
    <row r="459" spans="1:8" x14ac:dyDescent="0.2">
      <c r="A459" s="5">
        <v>46143</v>
      </c>
      <c r="B459" t="s">
        <v>129</v>
      </c>
      <c r="C459" t="s">
        <v>114</v>
      </c>
      <c r="D459" t="s">
        <v>87</v>
      </c>
      <c r="F459" s="6">
        <v>4448</v>
      </c>
      <c r="G459" t="s">
        <v>46</v>
      </c>
      <c r="H459" t="s">
        <v>131</v>
      </c>
    </row>
    <row r="460" spans="1:8" x14ac:dyDescent="0.2">
      <c r="A460" s="5">
        <v>46143</v>
      </c>
      <c r="B460" t="s">
        <v>129</v>
      </c>
      <c r="C460" t="s">
        <v>114</v>
      </c>
      <c r="D460" t="s">
        <v>91</v>
      </c>
      <c r="F460" s="6">
        <v>2768</v>
      </c>
      <c r="G460" t="s">
        <v>46</v>
      </c>
      <c r="H460" t="s">
        <v>131</v>
      </c>
    </row>
    <row r="461" spans="1:8" x14ac:dyDescent="0.2">
      <c r="A461" s="5">
        <v>46143</v>
      </c>
      <c r="B461" t="s">
        <v>129</v>
      </c>
      <c r="C461" t="s">
        <v>118</v>
      </c>
      <c r="D461" t="s">
        <v>67</v>
      </c>
      <c r="F461" s="6">
        <v>238302</v>
      </c>
      <c r="G461" t="s">
        <v>46</v>
      </c>
      <c r="H461" t="s">
        <v>131</v>
      </c>
    </row>
    <row r="462" spans="1:8" x14ac:dyDescent="0.2">
      <c r="A462" s="5">
        <v>46143</v>
      </c>
      <c r="B462" t="s">
        <v>129</v>
      </c>
      <c r="C462" t="s">
        <v>118</v>
      </c>
      <c r="D462" t="s">
        <v>71</v>
      </c>
      <c r="F462" s="6">
        <v>49581</v>
      </c>
      <c r="G462" t="s">
        <v>46</v>
      </c>
      <c r="H462" t="s">
        <v>131</v>
      </c>
    </row>
    <row r="463" spans="1:8" x14ac:dyDescent="0.2">
      <c r="A463" s="5">
        <v>46143</v>
      </c>
      <c r="B463" t="s">
        <v>129</v>
      </c>
      <c r="C463" t="s">
        <v>118</v>
      </c>
      <c r="D463" t="s">
        <v>75</v>
      </c>
      <c r="F463" s="6">
        <v>22858</v>
      </c>
      <c r="G463" t="s">
        <v>46</v>
      </c>
      <c r="H463" t="s">
        <v>131</v>
      </c>
    </row>
    <row r="464" spans="1:8" x14ac:dyDescent="0.2">
      <c r="A464" s="5">
        <v>46143</v>
      </c>
      <c r="B464" t="s">
        <v>129</v>
      </c>
      <c r="C464" t="s">
        <v>118</v>
      </c>
      <c r="D464" t="s">
        <v>76</v>
      </c>
      <c r="F464" s="6">
        <v>13975</v>
      </c>
      <c r="G464" t="s">
        <v>46</v>
      </c>
      <c r="H464" t="s">
        <v>131</v>
      </c>
    </row>
    <row r="465" spans="1:8" x14ac:dyDescent="0.2">
      <c r="A465" s="5">
        <v>46143</v>
      </c>
      <c r="B465" t="s">
        <v>129</v>
      </c>
      <c r="C465" t="s">
        <v>118</v>
      </c>
      <c r="D465" t="s">
        <v>79</v>
      </c>
      <c r="F465" s="6">
        <v>8909</v>
      </c>
      <c r="G465" t="s">
        <v>46</v>
      </c>
      <c r="H465" t="s">
        <v>131</v>
      </c>
    </row>
    <row r="466" spans="1:8" x14ac:dyDescent="0.2">
      <c r="A466" s="5">
        <v>46143</v>
      </c>
      <c r="B466" t="s">
        <v>129</v>
      </c>
      <c r="C466" t="s">
        <v>118</v>
      </c>
      <c r="D466" t="s">
        <v>83</v>
      </c>
      <c r="F466" s="6">
        <v>134341</v>
      </c>
      <c r="G466" t="s">
        <v>46</v>
      </c>
      <c r="H466" t="s">
        <v>131</v>
      </c>
    </row>
    <row r="467" spans="1:8" x14ac:dyDescent="0.2">
      <c r="A467" s="5">
        <v>46143</v>
      </c>
      <c r="B467" t="s">
        <v>129</v>
      </c>
      <c r="C467" t="s">
        <v>118</v>
      </c>
      <c r="D467" t="s">
        <v>85</v>
      </c>
      <c r="F467" s="6">
        <v>72480</v>
      </c>
      <c r="G467" t="s">
        <v>46</v>
      </c>
      <c r="H467" t="s">
        <v>131</v>
      </c>
    </row>
    <row r="468" spans="1:8" x14ac:dyDescent="0.2">
      <c r="A468" s="5">
        <v>46143</v>
      </c>
      <c r="B468" t="s">
        <v>129</v>
      </c>
      <c r="C468" t="s">
        <v>118</v>
      </c>
      <c r="D468" t="s">
        <v>87</v>
      </c>
      <c r="F468" s="6">
        <v>7088</v>
      </c>
      <c r="G468" t="s">
        <v>46</v>
      </c>
      <c r="H468" t="s">
        <v>131</v>
      </c>
    </row>
    <row r="469" spans="1:8" x14ac:dyDescent="0.2">
      <c r="A469" s="5">
        <v>46143</v>
      </c>
      <c r="B469" t="s">
        <v>129</v>
      </c>
      <c r="C469" t="s">
        <v>118</v>
      </c>
      <c r="D469" t="s">
        <v>91</v>
      </c>
      <c r="F469" s="6">
        <v>4588</v>
      </c>
      <c r="G469" t="s">
        <v>46</v>
      </c>
      <c r="H469" t="s">
        <v>131</v>
      </c>
    </row>
    <row r="470" spans="1:8" x14ac:dyDescent="0.2">
      <c r="A470" s="5">
        <v>46143</v>
      </c>
      <c r="B470" t="s">
        <v>134</v>
      </c>
      <c r="C470" t="s">
        <v>122</v>
      </c>
      <c r="D470" t="s">
        <v>54</v>
      </c>
      <c r="E470" t="s">
        <v>130</v>
      </c>
      <c r="F470" s="6">
        <v>589578</v>
      </c>
      <c r="G470" t="s">
        <v>135</v>
      </c>
      <c r="H470" t="s">
        <v>131</v>
      </c>
    </row>
    <row r="471" spans="1:8" x14ac:dyDescent="0.2">
      <c r="A471" s="5">
        <v>46143</v>
      </c>
      <c r="B471" t="s">
        <v>134</v>
      </c>
      <c r="C471" t="s">
        <v>122</v>
      </c>
      <c r="D471" t="s">
        <v>54</v>
      </c>
      <c r="E471" t="s">
        <v>132</v>
      </c>
      <c r="F471" s="6">
        <v>325868</v>
      </c>
      <c r="G471" t="s">
        <v>135</v>
      </c>
      <c r="H471" t="s">
        <v>131</v>
      </c>
    </row>
    <row r="472" spans="1:8" x14ac:dyDescent="0.2">
      <c r="A472" s="5">
        <v>46143</v>
      </c>
      <c r="B472" t="s">
        <v>134</v>
      </c>
      <c r="C472" t="s">
        <v>122</v>
      </c>
      <c r="D472" t="s">
        <v>58</v>
      </c>
      <c r="E472" t="s">
        <v>133</v>
      </c>
      <c r="F472" s="6">
        <v>94376</v>
      </c>
      <c r="G472" t="s">
        <v>135</v>
      </c>
      <c r="H472" t="s">
        <v>131</v>
      </c>
    </row>
    <row r="473" spans="1:8" x14ac:dyDescent="0.2">
      <c r="A473" s="5">
        <v>46143</v>
      </c>
      <c r="B473" t="s">
        <v>134</v>
      </c>
      <c r="C473" t="s">
        <v>97</v>
      </c>
      <c r="D473" t="s">
        <v>67</v>
      </c>
      <c r="F473" s="6">
        <v>108240</v>
      </c>
      <c r="G473" t="s">
        <v>135</v>
      </c>
      <c r="H473" t="s">
        <v>131</v>
      </c>
    </row>
    <row r="474" spans="1:8" x14ac:dyDescent="0.2">
      <c r="A474" s="5">
        <v>46143</v>
      </c>
      <c r="B474" t="s">
        <v>134</v>
      </c>
      <c r="C474" t="s">
        <v>97</v>
      </c>
      <c r="D474" t="s">
        <v>71</v>
      </c>
      <c r="F474" s="6">
        <v>24701</v>
      </c>
      <c r="G474" t="s">
        <v>135</v>
      </c>
      <c r="H474" t="s">
        <v>131</v>
      </c>
    </row>
    <row r="475" spans="1:8" x14ac:dyDescent="0.2">
      <c r="A475" s="5">
        <v>46143</v>
      </c>
      <c r="B475" t="s">
        <v>134</v>
      </c>
      <c r="C475" t="s">
        <v>97</v>
      </c>
      <c r="D475" t="s">
        <v>73</v>
      </c>
      <c r="F475" s="6">
        <v>39376</v>
      </c>
      <c r="G475" t="s">
        <v>135</v>
      </c>
      <c r="H475" t="s">
        <v>131</v>
      </c>
    </row>
    <row r="476" spans="1:8" x14ac:dyDescent="0.2">
      <c r="A476" s="5">
        <v>46143</v>
      </c>
      <c r="B476" t="s">
        <v>134</v>
      </c>
      <c r="C476" t="s">
        <v>97</v>
      </c>
      <c r="D476" t="s">
        <v>75</v>
      </c>
      <c r="F476" s="6">
        <v>11164</v>
      </c>
      <c r="G476" t="s">
        <v>135</v>
      </c>
      <c r="H476" t="s">
        <v>131</v>
      </c>
    </row>
    <row r="477" spans="1:8" x14ac:dyDescent="0.2">
      <c r="A477" s="5">
        <v>46143</v>
      </c>
      <c r="B477" t="s">
        <v>134</v>
      </c>
      <c r="C477" t="s">
        <v>97</v>
      </c>
      <c r="D477" t="s">
        <v>76</v>
      </c>
      <c r="F477" s="6">
        <v>6744</v>
      </c>
      <c r="G477" t="s">
        <v>135</v>
      </c>
      <c r="H477" t="s">
        <v>131</v>
      </c>
    </row>
    <row r="478" spans="1:8" x14ac:dyDescent="0.2">
      <c r="A478" s="5">
        <v>46143</v>
      </c>
      <c r="B478" t="s">
        <v>134</v>
      </c>
      <c r="C478" t="s">
        <v>97</v>
      </c>
      <c r="D478" t="s">
        <v>79</v>
      </c>
      <c r="F478" s="6">
        <v>9111</v>
      </c>
      <c r="G478" t="s">
        <v>135</v>
      </c>
      <c r="H478" t="s">
        <v>131</v>
      </c>
    </row>
    <row r="479" spans="1:8" x14ac:dyDescent="0.2">
      <c r="A479" s="5">
        <v>46143</v>
      </c>
      <c r="B479" t="s">
        <v>134</v>
      </c>
      <c r="C479" t="s">
        <v>97</v>
      </c>
      <c r="D479" t="s">
        <v>87</v>
      </c>
      <c r="F479" s="6">
        <v>3322</v>
      </c>
      <c r="G479" t="s">
        <v>135</v>
      </c>
      <c r="H479" t="s">
        <v>131</v>
      </c>
    </row>
    <row r="480" spans="1:8" x14ac:dyDescent="0.2">
      <c r="A480" s="5">
        <v>46143</v>
      </c>
      <c r="B480" t="s">
        <v>134</v>
      </c>
      <c r="C480" t="s">
        <v>97</v>
      </c>
      <c r="D480" t="s">
        <v>91</v>
      </c>
      <c r="F480" s="6">
        <v>2239</v>
      </c>
      <c r="G480" t="s">
        <v>135</v>
      </c>
      <c r="H480" t="s">
        <v>131</v>
      </c>
    </row>
    <row r="481" spans="1:8" x14ac:dyDescent="0.2">
      <c r="A481" s="5">
        <v>46143</v>
      </c>
      <c r="B481" t="s">
        <v>134</v>
      </c>
      <c r="C481" t="s">
        <v>102</v>
      </c>
      <c r="D481" t="s">
        <v>67</v>
      </c>
      <c r="F481" s="6">
        <v>47331</v>
      </c>
      <c r="G481" t="s">
        <v>135</v>
      </c>
      <c r="H481" t="s">
        <v>131</v>
      </c>
    </row>
    <row r="482" spans="1:8" x14ac:dyDescent="0.2">
      <c r="A482" s="5">
        <v>46143</v>
      </c>
      <c r="B482" t="s">
        <v>134</v>
      </c>
      <c r="C482" t="s">
        <v>102</v>
      </c>
      <c r="D482" t="s">
        <v>71</v>
      </c>
      <c r="F482" s="6">
        <v>10668</v>
      </c>
      <c r="G482" t="s">
        <v>135</v>
      </c>
      <c r="H482" t="s">
        <v>131</v>
      </c>
    </row>
    <row r="483" spans="1:8" x14ac:dyDescent="0.2">
      <c r="A483" s="5">
        <v>46143</v>
      </c>
      <c r="B483" t="s">
        <v>134</v>
      </c>
      <c r="C483" t="s">
        <v>102</v>
      </c>
      <c r="D483" t="s">
        <v>75</v>
      </c>
      <c r="F483" s="6">
        <v>4983</v>
      </c>
      <c r="G483" t="s">
        <v>135</v>
      </c>
      <c r="H483" t="s">
        <v>131</v>
      </c>
    </row>
    <row r="484" spans="1:8" x14ac:dyDescent="0.2">
      <c r="A484" s="5">
        <v>46143</v>
      </c>
      <c r="B484" t="s">
        <v>134</v>
      </c>
      <c r="C484" t="s">
        <v>102</v>
      </c>
      <c r="D484" t="s">
        <v>76</v>
      </c>
      <c r="F484" s="6">
        <v>2946</v>
      </c>
      <c r="G484" t="s">
        <v>135</v>
      </c>
      <c r="H484" t="s">
        <v>131</v>
      </c>
    </row>
    <row r="485" spans="1:8" x14ac:dyDescent="0.2">
      <c r="A485" s="5">
        <v>46143</v>
      </c>
      <c r="B485" t="s">
        <v>134</v>
      </c>
      <c r="C485" t="s">
        <v>102</v>
      </c>
      <c r="D485" t="s">
        <v>79</v>
      </c>
      <c r="F485" s="6">
        <v>3737</v>
      </c>
      <c r="G485" t="s">
        <v>135</v>
      </c>
      <c r="H485" t="s">
        <v>131</v>
      </c>
    </row>
    <row r="486" spans="1:8" x14ac:dyDescent="0.2">
      <c r="A486" s="5">
        <v>46143</v>
      </c>
      <c r="B486" t="s">
        <v>134</v>
      </c>
      <c r="C486" t="s">
        <v>102</v>
      </c>
      <c r="D486" t="s">
        <v>81</v>
      </c>
      <c r="F486" s="6">
        <v>107684</v>
      </c>
      <c r="G486" t="s">
        <v>135</v>
      </c>
      <c r="H486" t="s">
        <v>131</v>
      </c>
    </row>
    <row r="487" spans="1:8" x14ac:dyDescent="0.2">
      <c r="A487" s="5">
        <v>46143</v>
      </c>
      <c r="B487" t="s">
        <v>134</v>
      </c>
      <c r="C487" t="s">
        <v>102</v>
      </c>
      <c r="D487" t="s">
        <v>87</v>
      </c>
      <c r="F487" s="6">
        <v>1592</v>
      </c>
      <c r="G487" t="s">
        <v>135</v>
      </c>
      <c r="H487" t="s">
        <v>131</v>
      </c>
    </row>
    <row r="488" spans="1:8" x14ac:dyDescent="0.2">
      <c r="A488" s="5">
        <v>46143</v>
      </c>
      <c r="B488" t="s">
        <v>134</v>
      </c>
      <c r="C488" t="s">
        <v>102</v>
      </c>
      <c r="D488" t="s">
        <v>91</v>
      </c>
      <c r="F488" s="6">
        <v>985</v>
      </c>
      <c r="G488" t="s">
        <v>135</v>
      </c>
      <c r="H488" t="s">
        <v>131</v>
      </c>
    </row>
    <row r="489" spans="1:8" x14ac:dyDescent="0.2">
      <c r="A489" s="5">
        <v>46143</v>
      </c>
      <c r="B489" t="s">
        <v>134</v>
      </c>
      <c r="C489" t="s">
        <v>106</v>
      </c>
      <c r="D489" t="s">
        <v>65</v>
      </c>
      <c r="F489" s="6">
        <v>23434</v>
      </c>
      <c r="G489" t="s">
        <v>135</v>
      </c>
      <c r="H489" t="s">
        <v>131</v>
      </c>
    </row>
    <row r="490" spans="1:8" x14ac:dyDescent="0.2">
      <c r="A490" s="5">
        <v>46143</v>
      </c>
      <c r="B490" t="s">
        <v>134</v>
      </c>
      <c r="C490" t="s">
        <v>106</v>
      </c>
      <c r="D490" t="s">
        <v>67</v>
      </c>
      <c r="F490" s="6">
        <v>53675</v>
      </c>
      <c r="G490" t="s">
        <v>135</v>
      </c>
      <c r="H490" t="s">
        <v>131</v>
      </c>
    </row>
    <row r="491" spans="1:8" x14ac:dyDescent="0.2">
      <c r="A491" s="5">
        <v>46143</v>
      </c>
      <c r="B491" t="s">
        <v>134</v>
      </c>
      <c r="C491" t="s">
        <v>106</v>
      </c>
      <c r="D491" t="s">
        <v>71</v>
      </c>
      <c r="F491" s="6">
        <v>13129</v>
      </c>
      <c r="G491" t="s">
        <v>135</v>
      </c>
      <c r="H491" t="s">
        <v>131</v>
      </c>
    </row>
    <row r="492" spans="1:8" x14ac:dyDescent="0.2">
      <c r="A492" s="5">
        <v>46143</v>
      </c>
      <c r="B492" t="s">
        <v>134</v>
      </c>
      <c r="C492" t="s">
        <v>106</v>
      </c>
      <c r="D492" t="s">
        <v>75</v>
      </c>
      <c r="F492" s="6">
        <v>5755</v>
      </c>
      <c r="G492" t="s">
        <v>135</v>
      </c>
      <c r="H492" t="s">
        <v>131</v>
      </c>
    </row>
    <row r="493" spans="1:8" x14ac:dyDescent="0.2">
      <c r="A493" s="5">
        <v>46143</v>
      </c>
      <c r="B493" t="s">
        <v>134</v>
      </c>
      <c r="C493" t="s">
        <v>106</v>
      </c>
      <c r="D493" t="s">
        <v>76</v>
      </c>
      <c r="F493" s="6">
        <v>3379</v>
      </c>
      <c r="G493" t="s">
        <v>135</v>
      </c>
      <c r="H493" t="s">
        <v>131</v>
      </c>
    </row>
    <row r="494" spans="1:8" x14ac:dyDescent="0.2">
      <c r="A494" s="5">
        <v>46143</v>
      </c>
      <c r="B494" t="s">
        <v>134</v>
      </c>
      <c r="C494" t="s">
        <v>106</v>
      </c>
      <c r="D494" t="s">
        <v>79</v>
      </c>
      <c r="F494" s="6">
        <v>2231</v>
      </c>
      <c r="G494" t="s">
        <v>135</v>
      </c>
      <c r="H494" t="s">
        <v>131</v>
      </c>
    </row>
    <row r="495" spans="1:8" x14ac:dyDescent="0.2">
      <c r="A495" s="5">
        <v>46143</v>
      </c>
      <c r="B495" t="s">
        <v>134</v>
      </c>
      <c r="C495" t="s">
        <v>106</v>
      </c>
      <c r="D495" t="s">
        <v>87</v>
      </c>
      <c r="F495" s="6">
        <v>1605</v>
      </c>
      <c r="G495" t="s">
        <v>135</v>
      </c>
      <c r="H495" t="s">
        <v>131</v>
      </c>
    </row>
    <row r="496" spans="1:8" x14ac:dyDescent="0.2">
      <c r="A496" s="5">
        <v>46143</v>
      </c>
      <c r="B496" t="s">
        <v>134</v>
      </c>
      <c r="C496" t="s">
        <v>106</v>
      </c>
      <c r="D496" t="s">
        <v>91</v>
      </c>
      <c r="F496" s="6">
        <v>1128</v>
      </c>
      <c r="G496" t="s">
        <v>135</v>
      </c>
      <c r="H496" t="s">
        <v>131</v>
      </c>
    </row>
    <row r="497" spans="1:8" x14ac:dyDescent="0.2">
      <c r="A497" s="5">
        <v>46143</v>
      </c>
      <c r="B497" t="s">
        <v>134</v>
      </c>
      <c r="C497" t="s">
        <v>110</v>
      </c>
      <c r="D497" t="s">
        <v>61</v>
      </c>
      <c r="F497" s="6">
        <v>172802</v>
      </c>
      <c r="G497" t="s">
        <v>135</v>
      </c>
      <c r="H497" t="s">
        <v>131</v>
      </c>
    </row>
    <row r="498" spans="1:8" x14ac:dyDescent="0.2">
      <c r="A498" s="5">
        <v>46143</v>
      </c>
      <c r="B498" t="s">
        <v>134</v>
      </c>
      <c r="C498" t="s">
        <v>110</v>
      </c>
      <c r="D498" t="s">
        <v>67</v>
      </c>
      <c r="F498" s="6">
        <v>180679</v>
      </c>
      <c r="G498" t="s">
        <v>135</v>
      </c>
      <c r="H498" t="s">
        <v>131</v>
      </c>
    </row>
    <row r="499" spans="1:8" x14ac:dyDescent="0.2">
      <c r="A499" s="5">
        <v>46143</v>
      </c>
      <c r="B499" t="s">
        <v>134</v>
      </c>
      <c r="C499" t="s">
        <v>110</v>
      </c>
      <c r="D499" t="s">
        <v>71</v>
      </c>
      <c r="F499" s="6">
        <v>37676</v>
      </c>
      <c r="G499" t="s">
        <v>135</v>
      </c>
      <c r="H499" t="s">
        <v>131</v>
      </c>
    </row>
    <row r="500" spans="1:8" x14ac:dyDescent="0.2">
      <c r="A500" s="5">
        <v>46143</v>
      </c>
      <c r="B500" t="s">
        <v>134</v>
      </c>
      <c r="C500" t="s">
        <v>110</v>
      </c>
      <c r="D500" t="s">
        <v>75</v>
      </c>
      <c r="F500" s="6">
        <v>16540</v>
      </c>
      <c r="G500" t="s">
        <v>135</v>
      </c>
      <c r="H500" t="s">
        <v>131</v>
      </c>
    </row>
    <row r="501" spans="1:8" x14ac:dyDescent="0.2">
      <c r="A501" s="5">
        <v>46143</v>
      </c>
      <c r="B501" t="s">
        <v>134</v>
      </c>
      <c r="C501" t="s">
        <v>110</v>
      </c>
      <c r="D501" t="s">
        <v>76</v>
      </c>
      <c r="F501" s="6">
        <v>10600</v>
      </c>
      <c r="G501" t="s">
        <v>135</v>
      </c>
      <c r="H501" t="s">
        <v>131</v>
      </c>
    </row>
    <row r="502" spans="1:8" x14ac:dyDescent="0.2">
      <c r="A502" s="5">
        <v>46143</v>
      </c>
      <c r="B502" t="s">
        <v>134</v>
      </c>
      <c r="C502" t="s">
        <v>110</v>
      </c>
      <c r="D502" t="s">
        <v>79</v>
      </c>
      <c r="F502" s="6">
        <v>7017</v>
      </c>
      <c r="G502" t="s">
        <v>135</v>
      </c>
      <c r="H502" t="s">
        <v>131</v>
      </c>
    </row>
    <row r="503" spans="1:8" x14ac:dyDescent="0.2">
      <c r="A503" s="5">
        <v>46143</v>
      </c>
      <c r="B503" t="s">
        <v>134</v>
      </c>
      <c r="C503" t="s">
        <v>110</v>
      </c>
      <c r="D503" t="s">
        <v>87</v>
      </c>
      <c r="F503" s="6">
        <v>5334</v>
      </c>
      <c r="G503" t="s">
        <v>135</v>
      </c>
      <c r="H503" t="s">
        <v>131</v>
      </c>
    </row>
    <row r="504" spans="1:8" x14ac:dyDescent="0.2">
      <c r="A504" s="5">
        <v>46143</v>
      </c>
      <c r="B504" t="s">
        <v>134</v>
      </c>
      <c r="C504" t="s">
        <v>110</v>
      </c>
      <c r="D504" t="s">
        <v>89</v>
      </c>
      <c r="F504" s="6">
        <v>31416</v>
      </c>
      <c r="G504" t="s">
        <v>135</v>
      </c>
      <c r="H504" t="s">
        <v>131</v>
      </c>
    </row>
    <row r="505" spans="1:8" x14ac:dyDescent="0.2">
      <c r="A505" s="5">
        <v>46143</v>
      </c>
      <c r="B505" t="s">
        <v>134</v>
      </c>
      <c r="C505" t="s">
        <v>110</v>
      </c>
      <c r="D505" t="s">
        <v>91</v>
      </c>
      <c r="F505" s="6">
        <v>3454</v>
      </c>
      <c r="G505" t="s">
        <v>135</v>
      </c>
      <c r="H505" t="s">
        <v>131</v>
      </c>
    </row>
    <row r="506" spans="1:8" x14ac:dyDescent="0.2">
      <c r="A506" s="5">
        <v>46143</v>
      </c>
      <c r="B506" t="s">
        <v>134</v>
      </c>
      <c r="C506" t="s">
        <v>114</v>
      </c>
      <c r="D506" t="s">
        <v>67</v>
      </c>
      <c r="F506" s="6">
        <v>47526</v>
      </c>
      <c r="G506" t="s">
        <v>135</v>
      </c>
      <c r="H506" t="s">
        <v>131</v>
      </c>
    </row>
    <row r="507" spans="1:8" x14ac:dyDescent="0.2">
      <c r="A507" s="5">
        <v>46143</v>
      </c>
      <c r="B507" t="s">
        <v>134</v>
      </c>
      <c r="C507" t="s">
        <v>114</v>
      </c>
      <c r="D507" t="s">
        <v>71</v>
      </c>
      <c r="F507" s="6">
        <v>10438</v>
      </c>
      <c r="G507" t="s">
        <v>135</v>
      </c>
      <c r="H507" t="s">
        <v>131</v>
      </c>
    </row>
    <row r="508" spans="1:8" x14ac:dyDescent="0.2">
      <c r="A508" s="5">
        <v>46143</v>
      </c>
      <c r="B508" t="s">
        <v>134</v>
      </c>
      <c r="C508" t="s">
        <v>114</v>
      </c>
      <c r="D508" t="s">
        <v>75</v>
      </c>
      <c r="F508" s="6">
        <v>4714</v>
      </c>
      <c r="G508" t="s">
        <v>135</v>
      </c>
      <c r="H508" t="s">
        <v>131</v>
      </c>
    </row>
    <row r="509" spans="1:8" x14ac:dyDescent="0.2">
      <c r="A509" s="5">
        <v>46143</v>
      </c>
      <c r="B509" t="s">
        <v>134</v>
      </c>
      <c r="C509" t="s">
        <v>114</v>
      </c>
      <c r="D509" t="s">
        <v>76</v>
      </c>
      <c r="F509" s="6">
        <v>2795</v>
      </c>
      <c r="G509" t="s">
        <v>135</v>
      </c>
      <c r="H509" t="s">
        <v>131</v>
      </c>
    </row>
    <row r="510" spans="1:8" x14ac:dyDescent="0.2">
      <c r="A510" s="5">
        <v>46143</v>
      </c>
      <c r="B510" t="s">
        <v>134</v>
      </c>
      <c r="C510" t="s">
        <v>114</v>
      </c>
      <c r="D510" t="s">
        <v>79</v>
      </c>
      <c r="F510" s="6">
        <v>1968</v>
      </c>
      <c r="G510" t="s">
        <v>135</v>
      </c>
      <c r="H510" t="s">
        <v>131</v>
      </c>
    </row>
    <row r="511" spans="1:8" x14ac:dyDescent="0.2">
      <c r="A511" s="5">
        <v>46143</v>
      </c>
      <c r="B511" t="s">
        <v>134</v>
      </c>
      <c r="C511" t="s">
        <v>114</v>
      </c>
      <c r="D511" t="s">
        <v>87</v>
      </c>
      <c r="F511" s="6">
        <v>1407</v>
      </c>
      <c r="G511" t="s">
        <v>135</v>
      </c>
      <c r="H511" t="s">
        <v>131</v>
      </c>
    </row>
    <row r="512" spans="1:8" x14ac:dyDescent="0.2">
      <c r="A512" s="5">
        <v>46143</v>
      </c>
      <c r="B512" t="s">
        <v>134</v>
      </c>
      <c r="C512" t="s">
        <v>114</v>
      </c>
      <c r="D512" t="s">
        <v>91</v>
      </c>
      <c r="F512" s="6">
        <v>935</v>
      </c>
      <c r="G512" t="s">
        <v>135</v>
      </c>
      <c r="H512" t="s">
        <v>131</v>
      </c>
    </row>
    <row r="513" spans="1:8" x14ac:dyDescent="0.2">
      <c r="A513" s="5">
        <v>46143</v>
      </c>
      <c r="B513" t="s">
        <v>134</v>
      </c>
      <c r="C513" t="s">
        <v>118</v>
      </c>
      <c r="D513" t="s">
        <v>67</v>
      </c>
      <c r="F513" s="6">
        <v>69918</v>
      </c>
      <c r="G513" t="s">
        <v>135</v>
      </c>
      <c r="H513" t="s">
        <v>131</v>
      </c>
    </row>
    <row r="514" spans="1:8" x14ac:dyDescent="0.2">
      <c r="A514" s="5">
        <v>46143</v>
      </c>
      <c r="B514" t="s">
        <v>134</v>
      </c>
      <c r="C514" t="s">
        <v>118</v>
      </c>
      <c r="D514" t="s">
        <v>71</v>
      </c>
      <c r="F514" s="6">
        <v>16947</v>
      </c>
      <c r="G514" t="s">
        <v>135</v>
      </c>
      <c r="H514" t="s">
        <v>131</v>
      </c>
    </row>
    <row r="515" spans="1:8" x14ac:dyDescent="0.2">
      <c r="A515" s="5">
        <v>46143</v>
      </c>
      <c r="B515" t="s">
        <v>134</v>
      </c>
      <c r="C515" t="s">
        <v>118</v>
      </c>
      <c r="D515" t="s">
        <v>75</v>
      </c>
      <c r="F515" s="6">
        <v>7306</v>
      </c>
      <c r="G515" t="s">
        <v>135</v>
      </c>
      <c r="H515" t="s">
        <v>131</v>
      </c>
    </row>
    <row r="516" spans="1:8" x14ac:dyDescent="0.2">
      <c r="A516" s="5">
        <v>46143</v>
      </c>
      <c r="B516" t="s">
        <v>134</v>
      </c>
      <c r="C516" t="s">
        <v>118</v>
      </c>
      <c r="D516" t="s">
        <v>76</v>
      </c>
      <c r="F516" s="6">
        <v>4604</v>
      </c>
      <c r="G516" t="s">
        <v>135</v>
      </c>
      <c r="H516" t="s">
        <v>131</v>
      </c>
    </row>
    <row r="517" spans="1:8" x14ac:dyDescent="0.2">
      <c r="A517" s="5">
        <v>46143</v>
      </c>
      <c r="B517" t="s">
        <v>134</v>
      </c>
      <c r="C517" t="s">
        <v>118</v>
      </c>
      <c r="D517" t="s">
        <v>79</v>
      </c>
      <c r="F517" s="6">
        <v>2879</v>
      </c>
      <c r="G517" t="s">
        <v>135</v>
      </c>
      <c r="H517" t="s">
        <v>131</v>
      </c>
    </row>
    <row r="518" spans="1:8" x14ac:dyDescent="0.2">
      <c r="A518" s="5">
        <v>46143</v>
      </c>
      <c r="B518" t="s">
        <v>134</v>
      </c>
      <c r="C518" t="s">
        <v>118</v>
      </c>
      <c r="D518" t="s">
        <v>83</v>
      </c>
      <c r="F518" s="6">
        <v>41922</v>
      </c>
      <c r="G518" t="s">
        <v>135</v>
      </c>
      <c r="H518" t="s">
        <v>131</v>
      </c>
    </row>
    <row r="519" spans="1:8" x14ac:dyDescent="0.2">
      <c r="A519" s="5">
        <v>46143</v>
      </c>
      <c r="B519" t="s">
        <v>134</v>
      </c>
      <c r="C519" t="s">
        <v>118</v>
      </c>
      <c r="D519" t="s">
        <v>85</v>
      </c>
      <c r="F519" s="6">
        <v>24633</v>
      </c>
      <c r="G519" t="s">
        <v>135</v>
      </c>
      <c r="H519" t="s">
        <v>131</v>
      </c>
    </row>
    <row r="520" spans="1:8" x14ac:dyDescent="0.2">
      <c r="A520" s="5">
        <v>46143</v>
      </c>
      <c r="B520" t="s">
        <v>134</v>
      </c>
      <c r="C520" t="s">
        <v>118</v>
      </c>
      <c r="D520" t="s">
        <v>87</v>
      </c>
      <c r="F520" s="6">
        <v>2217</v>
      </c>
      <c r="G520" t="s">
        <v>135</v>
      </c>
      <c r="H520" t="s">
        <v>131</v>
      </c>
    </row>
    <row r="521" spans="1:8" x14ac:dyDescent="0.2">
      <c r="A521" s="5">
        <v>46143</v>
      </c>
      <c r="B521" t="s">
        <v>134</v>
      </c>
      <c r="C521" t="s">
        <v>118</v>
      </c>
      <c r="D521" t="s">
        <v>91</v>
      </c>
      <c r="F521" s="6">
        <v>1532</v>
      </c>
      <c r="G521" t="s">
        <v>135</v>
      </c>
      <c r="H521" t="s">
        <v>131</v>
      </c>
    </row>
    <row r="522" spans="1:8" x14ac:dyDescent="0.2">
      <c r="A522" s="5">
        <v>46174</v>
      </c>
      <c r="B522" t="s">
        <v>129</v>
      </c>
      <c r="C522" t="s">
        <v>122</v>
      </c>
      <c r="D522" t="s">
        <v>54</v>
      </c>
      <c r="E522" t="s">
        <v>130</v>
      </c>
      <c r="F522" s="6">
        <v>1851439</v>
      </c>
      <c r="G522" t="s">
        <v>46</v>
      </c>
      <c r="H522" t="s">
        <v>131</v>
      </c>
    </row>
    <row r="523" spans="1:8" x14ac:dyDescent="0.2">
      <c r="A523" s="5">
        <v>46174</v>
      </c>
      <c r="B523" t="s">
        <v>129</v>
      </c>
      <c r="C523" t="s">
        <v>122</v>
      </c>
      <c r="D523" t="s">
        <v>54</v>
      </c>
      <c r="E523" t="s">
        <v>132</v>
      </c>
      <c r="F523" s="6">
        <v>1053454</v>
      </c>
      <c r="G523" t="s">
        <v>46</v>
      </c>
      <c r="H523" t="s">
        <v>131</v>
      </c>
    </row>
    <row r="524" spans="1:8" x14ac:dyDescent="0.2">
      <c r="A524" s="5">
        <v>46174</v>
      </c>
      <c r="B524" t="s">
        <v>129</v>
      </c>
      <c r="C524" t="s">
        <v>122</v>
      </c>
      <c r="D524" t="s">
        <v>58</v>
      </c>
      <c r="E524" t="s">
        <v>133</v>
      </c>
      <c r="F524" s="6">
        <v>288814</v>
      </c>
      <c r="G524" t="s">
        <v>46</v>
      </c>
      <c r="H524" t="s">
        <v>131</v>
      </c>
    </row>
    <row r="525" spans="1:8" x14ac:dyDescent="0.2">
      <c r="A525" s="5">
        <v>46174</v>
      </c>
      <c r="B525" t="s">
        <v>129</v>
      </c>
      <c r="C525" t="s">
        <v>97</v>
      </c>
      <c r="D525" t="s">
        <v>67</v>
      </c>
      <c r="F525" s="6">
        <v>344546</v>
      </c>
      <c r="G525" t="s">
        <v>46</v>
      </c>
      <c r="H525" t="s">
        <v>131</v>
      </c>
    </row>
    <row r="526" spans="1:8" x14ac:dyDescent="0.2">
      <c r="A526" s="5">
        <v>46174</v>
      </c>
      <c r="B526" t="s">
        <v>129</v>
      </c>
      <c r="C526" t="s">
        <v>97</v>
      </c>
      <c r="D526" t="s">
        <v>71</v>
      </c>
      <c r="F526" s="6">
        <v>71363</v>
      </c>
      <c r="G526" t="s">
        <v>46</v>
      </c>
      <c r="H526" t="s">
        <v>131</v>
      </c>
    </row>
    <row r="527" spans="1:8" x14ac:dyDescent="0.2">
      <c r="A527" s="5">
        <v>46174</v>
      </c>
      <c r="B527" t="s">
        <v>129</v>
      </c>
      <c r="C527" t="s">
        <v>97</v>
      </c>
      <c r="D527" t="s">
        <v>73</v>
      </c>
      <c r="F527" s="6">
        <v>119581</v>
      </c>
      <c r="G527" t="s">
        <v>46</v>
      </c>
      <c r="H527" t="s">
        <v>131</v>
      </c>
    </row>
    <row r="528" spans="1:8" x14ac:dyDescent="0.2">
      <c r="A528" s="5">
        <v>46174</v>
      </c>
      <c r="B528" t="s">
        <v>129</v>
      </c>
      <c r="C528" t="s">
        <v>97</v>
      </c>
      <c r="D528" t="s">
        <v>75</v>
      </c>
      <c r="F528" s="6">
        <v>34707</v>
      </c>
      <c r="G528" t="s">
        <v>46</v>
      </c>
      <c r="H528" t="s">
        <v>131</v>
      </c>
    </row>
    <row r="529" spans="1:8" x14ac:dyDescent="0.2">
      <c r="A529" s="5">
        <v>46174</v>
      </c>
      <c r="B529" t="s">
        <v>129</v>
      </c>
      <c r="C529" t="s">
        <v>97</v>
      </c>
      <c r="D529" t="s">
        <v>76</v>
      </c>
      <c r="F529" s="6">
        <v>20921</v>
      </c>
      <c r="G529" t="s">
        <v>46</v>
      </c>
      <c r="H529" t="s">
        <v>131</v>
      </c>
    </row>
    <row r="530" spans="1:8" x14ac:dyDescent="0.2">
      <c r="A530" s="5">
        <v>46174</v>
      </c>
      <c r="B530" t="s">
        <v>129</v>
      </c>
      <c r="C530" t="s">
        <v>97</v>
      </c>
      <c r="D530" t="s">
        <v>79</v>
      </c>
      <c r="F530" s="6">
        <v>26938</v>
      </c>
      <c r="G530" t="s">
        <v>46</v>
      </c>
      <c r="H530" t="s">
        <v>131</v>
      </c>
    </row>
    <row r="531" spans="1:8" x14ac:dyDescent="0.2">
      <c r="A531" s="5">
        <v>46174</v>
      </c>
      <c r="B531" t="s">
        <v>129</v>
      </c>
      <c r="C531" t="s">
        <v>97</v>
      </c>
      <c r="D531" t="s">
        <v>87</v>
      </c>
      <c r="F531" s="6">
        <v>11027</v>
      </c>
      <c r="G531" t="s">
        <v>46</v>
      </c>
      <c r="H531" t="s">
        <v>131</v>
      </c>
    </row>
    <row r="532" spans="1:8" x14ac:dyDescent="0.2">
      <c r="A532" s="5">
        <v>46174</v>
      </c>
      <c r="B532" t="s">
        <v>129</v>
      </c>
      <c r="C532" t="s">
        <v>97</v>
      </c>
      <c r="D532" t="s">
        <v>91</v>
      </c>
      <c r="F532" s="6">
        <v>7324</v>
      </c>
      <c r="G532" t="s">
        <v>46</v>
      </c>
      <c r="H532" t="s">
        <v>131</v>
      </c>
    </row>
    <row r="533" spans="1:8" x14ac:dyDescent="0.2">
      <c r="A533" s="5">
        <v>46174</v>
      </c>
      <c r="B533" t="s">
        <v>129</v>
      </c>
      <c r="C533" t="s">
        <v>102</v>
      </c>
      <c r="D533" t="s">
        <v>67</v>
      </c>
      <c r="F533" s="6">
        <v>162279</v>
      </c>
      <c r="G533" t="s">
        <v>46</v>
      </c>
      <c r="H533" t="s">
        <v>131</v>
      </c>
    </row>
    <row r="534" spans="1:8" x14ac:dyDescent="0.2">
      <c r="A534" s="5">
        <v>46174</v>
      </c>
      <c r="B534" t="s">
        <v>129</v>
      </c>
      <c r="C534" t="s">
        <v>102</v>
      </c>
      <c r="D534" t="s">
        <v>71</v>
      </c>
      <c r="F534" s="6">
        <v>33688</v>
      </c>
      <c r="G534" t="s">
        <v>46</v>
      </c>
      <c r="H534" t="s">
        <v>131</v>
      </c>
    </row>
    <row r="535" spans="1:8" x14ac:dyDescent="0.2">
      <c r="A535" s="5">
        <v>46174</v>
      </c>
      <c r="B535" t="s">
        <v>129</v>
      </c>
      <c r="C535" t="s">
        <v>102</v>
      </c>
      <c r="D535" t="s">
        <v>75</v>
      </c>
      <c r="F535" s="6">
        <v>15169</v>
      </c>
      <c r="G535" t="s">
        <v>46</v>
      </c>
      <c r="H535" t="s">
        <v>131</v>
      </c>
    </row>
    <row r="536" spans="1:8" x14ac:dyDescent="0.2">
      <c r="A536" s="5">
        <v>46174</v>
      </c>
      <c r="B536" t="s">
        <v>129</v>
      </c>
      <c r="C536" t="s">
        <v>102</v>
      </c>
      <c r="D536" t="s">
        <v>76</v>
      </c>
      <c r="F536" s="6">
        <v>9480</v>
      </c>
      <c r="G536" t="s">
        <v>46</v>
      </c>
      <c r="H536" t="s">
        <v>131</v>
      </c>
    </row>
    <row r="537" spans="1:8" x14ac:dyDescent="0.2">
      <c r="A537" s="5">
        <v>46174</v>
      </c>
      <c r="B537" t="s">
        <v>129</v>
      </c>
      <c r="C537" t="s">
        <v>102</v>
      </c>
      <c r="D537" t="s">
        <v>79</v>
      </c>
      <c r="F537" s="6">
        <v>12712</v>
      </c>
      <c r="G537" t="s">
        <v>46</v>
      </c>
      <c r="H537" t="s">
        <v>131</v>
      </c>
    </row>
    <row r="538" spans="1:8" x14ac:dyDescent="0.2">
      <c r="A538" s="5">
        <v>46174</v>
      </c>
      <c r="B538" t="s">
        <v>129</v>
      </c>
      <c r="C538" t="s">
        <v>102</v>
      </c>
      <c r="D538" t="s">
        <v>81</v>
      </c>
      <c r="F538" s="6">
        <v>359824</v>
      </c>
      <c r="G538" t="s">
        <v>46</v>
      </c>
      <c r="H538" t="s">
        <v>131</v>
      </c>
    </row>
    <row r="539" spans="1:8" x14ac:dyDescent="0.2">
      <c r="A539" s="5">
        <v>46174</v>
      </c>
      <c r="B539" t="s">
        <v>129</v>
      </c>
      <c r="C539" t="s">
        <v>102</v>
      </c>
      <c r="D539" t="s">
        <v>87</v>
      </c>
      <c r="F539" s="6">
        <v>4551</v>
      </c>
      <c r="G539" t="s">
        <v>46</v>
      </c>
      <c r="H539" t="s">
        <v>131</v>
      </c>
    </row>
    <row r="540" spans="1:8" x14ac:dyDescent="0.2">
      <c r="A540" s="5">
        <v>46174</v>
      </c>
      <c r="B540" t="s">
        <v>129</v>
      </c>
      <c r="C540" t="s">
        <v>102</v>
      </c>
      <c r="D540" t="s">
        <v>91</v>
      </c>
      <c r="F540" s="6">
        <v>3166</v>
      </c>
      <c r="G540" t="s">
        <v>46</v>
      </c>
      <c r="H540" t="s">
        <v>131</v>
      </c>
    </row>
    <row r="541" spans="1:8" x14ac:dyDescent="0.2">
      <c r="A541" s="5">
        <v>46174</v>
      </c>
      <c r="B541" t="s">
        <v>129</v>
      </c>
      <c r="C541" t="s">
        <v>106</v>
      </c>
      <c r="D541" t="s">
        <v>65</v>
      </c>
      <c r="F541" s="6">
        <v>75858</v>
      </c>
      <c r="G541" t="s">
        <v>46</v>
      </c>
      <c r="H541" t="s">
        <v>131</v>
      </c>
    </row>
    <row r="542" spans="1:8" x14ac:dyDescent="0.2">
      <c r="A542" s="5">
        <v>46174</v>
      </c>
      <c r="B542" t="s">
        <v>129</v>
      </c>
      <c r="C542" t="s">
        <v>106</v>
      </c>
      <c r="D542" t="s">
        <v>67</v>
      </c>
      <c r="F542" s="6">
        <v>170085</v>
      </c>
      <c r="G542" t="s">
        <v>46</v>
      </c>
      <c r="H542" t="s">
        <v>131</v>
      </c>
    </row>
    <row r="543" spans="1:8" x14ac:dyDescent="0.2">
      <c r="A543" s="5">
        <v>46174</v>
      </c>
      <c r="B543" t="s">
        <v>129</v>
      </c>
      <c r="C543" t="s">
        <v>106</v>
      </c>
      <c r="D543" t="s">
        <v>71</v>
      </c>
      <c r="F543" s="6">
        <v>38741</v>
      </c>
      <c r="G543" t="s">
        <v>46</v>
      </c>
      <c r="H543" t="s">
        <v>131</v>
      </c>
    </row>
    <row r="544" spans="1:8" x14ac:dyDescent="0.2">
      <c r="A544" s="5">
        <v>46174</v>
      </c>
      <c r="B544" t="s">
        <v>129</v>
      </c>
      <c r="C544" t="s">
        <v>106</v>
      </c>
      <c r="D544" t="s">
        <v>75</v>
      </c>
      <c r="F544" s="6">
        <v>17994</v>
      </c>
      <c r="G544" t="s">
        <v>46</v>
      </c>
      <c r="H544" t="s">
        <v>131</v>
      </c>
    </row>
    <row r="545" spans="1:8" x14ac:dyDescent="0.2">
      <c r="A545" s="5">
        <v>46174</v>
      </c>
      <c r="B545" t="s">
        <v>129</v>
      </c>
      <c r="C545" t="s">
        <v>106</v>
      </c>
      <c r="D545" t="s">
        <v>76</v>
      </c>
      <c r="F545" s="6">
        <v>10817</v>
      </c>
      <c r="G545" t="s">
        <v>46</v>
      </c>
      <c r="H545" t="s">
        <v>131</v>
      </c>
    </row>
    <row r="546" spans="1:8" x14ac:dyDescent="0.2">
      <c r="A546" s="5">
        <v>46174</v>
      </c>
      <c r="B546" t="s">
        <v>129</v>
      </c>
      <c r="C546" t="s">
        <v>106</v>
      </c>
      <c r="D546" t="s">
        <v>79</v>
      </c>
      <c r="F546" s="6">
        <v>7294</v>
      </c>
      <c r="G546" t="s">
        <v>46</v>
      </c>
      <c r="H546" t="s">
        <v>131</v>
      </c>
    </row>
    <row r="547" spans="1:8" x14ac:dyDescent="0.2">
      <c r="A547" s="5">
        <v>46174</v>
      </c>
      <c r="B547" t="s">
        <v>129</v>
      </c>
      <c r="C547" t="s">
        <v>106</v>
      </c>
      <c r="D547" t="s">
        <v>87</v>
      </c>
      <c r="F547" s="6">
        <v>5564</v>
      </c>
      <c r="G547" t="s">
        <v>46</v>
      </c>
      <c r="H547" t="s">
        <v>131</v>
      </c>
    </row>
    <row r="548" spans="1:8" x14ac:dyDescent="0.2">
      <c r="A548" s="5">
        <v>46174</v>
      </c>
      <c r="B548" t="s">
        <v>129</v>
      </c>
      <c r="C548" t="s">
        <v>106</v>
      </c>
      <c r="D548" t="s">
        <v>91</v>
      </c>
      <c r="F548" s="6">
        <v>3277</v>
      </c>
      <c r="G548" t="s">
        <v>46</v>
      </c>
      <c r="H548" t="s">
        <v>131</v>
      </c>
    </row>
    <row r="549" spans="1:8" x14ac:dyDescent="0.2">
      <c r="A549" s="5">
        <v>46174</v>
      </c>
      <c r="B549" t="s">
        <v>129</v>
      </c>
      <c r="C549" t="s">
        <v>110</v>
      </c>
      <c r="D549" t="s">
        <v>61</v>
      </c>
      <c r="F549" s="6">
        <v>536712</v>
      </c>
      <c r="G549" t="s">
        <v>46</v>
      </c>
      <c r="H549" t="s">
        <v>131</v>
      </c>
    </row>
    <row r="550" spans="1:8" x14ac:dyDescent="0.2">
      <c r="A550" s="5">
        <v>46174</v>
      </c>
      <c r="B550" t="s">
        <v>129</v>
      </c>
      <c r="C550" t="s">
        <v>110</v>
      </c>
      <c r="D550" t="s">
        <v>67</v>
      </c>
      <c r="F550" s="6">
        <v>540752</v>
      </c>
      <c r="G550" t="s">
        <v>46</v>
      </c>
      <c r="H550" t="s">
        <v>131</v>
      </c>
    </row>
    <row r="551" spans="1:8" x14ac:dyDescent="0.2">
      <c r="A551" s="5">
        <v>46174</v>
      </c>
      <c r="B551" t="s">
        <v>129</v>
      </c>
      <c r="C551" t="s">
        <v>110</v>
      </c>
      <c r="D551" t="s">
        <v>71</v>
      </c>
      <c r="F551" s="6">
        <v>117311</v>
      </c>
      <c r="G551" t="s">
        <v>46</v>
      </c>
      <c r="H551" t="s">
        <v>131</v>
      </c>
    </row>
    <row r="552" spans="1:8" x14ac:dyDescent="0.2">
      <c r="A552" s="5">
        <v>46174</v>
      </c>
      <c r="B552" t="s">
        <v>129</v>
      </c>
      <c r="C552" t="s">
        <v>110</v>
      </c>
      <c r="D552" t="s">
        <v>75</v>
      </c>
      <c r="F552" s="6">
        <v>50024</v>
      </c>
      <c r="G552" t="s">
        <v>46</v>
      </c>
      <c r="H552" t="s">
        <v>131</v>
      </c>
    </row>
    <row r="553" spans="1:8" x14ac:dyDescent="0.2">
      <c r="A553" s="5">
        <v>46174</v>
      </c>
      <c r="B553" t="s">
        <v>129</v>
      </c>
      <c r="C553" t="s">
        <v>110</v>
      </c>
      <c r="D553" t="s">
        <v>76</v>
      </c>
      <c r="F553" s="6">
        <v>34844</v>
      </c>
      <c r="G553" t="s">
        <v>46</v>
      </c>
      <c r="H553" t="s">
        <v>131</v>
      </c>
    </row>
    <row r="554" spans="1:8" x14ac:dyDescent="0.2">
      <c r="A554" s="5">
        <v>46174</v>
      </c>
      <c r="B554" t="s">
        <v>129</v>
      </c>
      <c r="C554" t="s">
        <v>110</v>
      </c>
      <c r="D554" t="s">
        <v>79</v>
      </c>
      <c r="F554" s="6">
        <v>22227</v>
      </c>
      <c r="G554" t="s">
        <v>46</v>
      </c>
      <c r="H554" t="s">
        <v>131</v>
      </c>
    </row>
    <row r="555" spans="1:8" x14ac:dyDescent="0.2">
      <c r="A555" s="5">
        <v>46174</v>
      </c>
      <c r="B555" t="s">
        <v>129</v>
      </c>
      <c r="C555" t="s">
        <v>110</v>
      </c>
      <c r="D555" t="s">
        <v>87</v>
      </c>
      <c r="F555" s="6">
        <v>16724</v>
      </c>
      <c r="G555" t="s">
        <v>46</v>
      </c>
      <c r="H555" t="s">
        <v>131</v>
      </c>
    </row>
    <row r="556" spans="1:8" x14ac:dyDescent="0.2">
      <c r="A556" s="5">
        <v>46174</v>
      </c>
      <c r="B556" t="s">
        <v>129</v>
      </c>
      <c r="C556" t="s">
        <v>110</v>
      </c>
      <c r="D556" t="s">
        <v>89</v>
      </c>
      <c r="F556" s="6">
        <v>86409</v>
      </c>
      <c r="G556" t="s">
        <v>46</v>
      </c>
      <c r="H556" t="s">
        <v>131</v>
      </c>
    </row>
    <row r="557" spans="1:8" x14ac:dyDescent="0.2">
      <c r="A557" s="5">
        <v>46174</v>
      </c>
      <c r="B557" t="s">
        <v>129</v>
      </c>
      <c r="C557" t="s">
        <v>110</v>
      </c>
      <c r="D557" t="s">
        <v>91</v>
      </c>
      <c r="F557" s="6">
        <v>11473</v>
      </c>
      <c r="G557" t="s">
        <v>46</v>
      </c>
      <c r="H557" t="s">
        <v>131</v>
      </c>
    </row>
    <row r="558" spans="1:8" x14ac:dyDescent="0.2">
      <c r="A558" s="5">
        <v>46174</v>
      </c>
      <c r="B558" t="s">
        <v>129</v>
      </c>
      <c r="C558" t="s">
        <v>114</v>
      </c>
      <c r="D558" t="s">
        <v>67</v>
      </c>
      <c r="F558" s="6">
        <v>143964</v>
      </c>
      <c r="G558" t="s">
        <v>46</v>
      </c>
      <c r="H558" t="s">
        <v>131</v>
      </c>
    </row>
    <row r="559" spans="1:8" x14ac:dyDescent="0.2">
      <c r="A559" s="5">
        <v>46174</v>
      </c>
      <c r="B559" t="s">
        <v>129</v>
      </c>
      <c r="C559" t="s">
        <v>114</v>
      </c>
      <c r="D559" t="s">
        <v>71</v>
      </c>
      <c r="F559" s="6">
        <v>34699</v>
      </c>
      <c r="G559" t="s">
        <v>46</v>
      </c>
      <c r="H559" t="s">
        <v>131</v>
      </c>
    </row>
    <row r="560" spans="1:8" x14ac:dyDescent="0.2">
      <c r="A560" s="5">
        <v>46174</v>
      </c>
      <c r="B560" t="s">
        <v>129</v>
      </c>
      <c r="C560" t="s">
        <v>114</v>
      </c>
      <c r="D560" t="s">
        <v>75</v>
      </c>
      <c r="F560" s="6">
        <v>14617</v>
      </c>
      <c r="G560" t="s">
        <v>46</v>
      </c>
      <c r="H560" t="s">
        <v>131</v>
      </c>
    </row>
    <row r="561" spans="1:8" x14ac:dyDescent="0.2">
      <c r="A561" s="5">
        <v>46174</v>
      </c>
      <c r="B561" t="s">
        <v>129</v>
      </c>
      <c r="C561" t="s">
        <v>114</v>
      </c>
      <c r="D561" t="s">
        <v>76</v>
      </c>
      <c r="F561" s="6">
        <v>8735</v>
      </c>
      <c r="G561" t="s">
        <v>46</v>
      </c>
      <c r="H561" t="s">
        <v>131</v>
      </c>
    </row>
    <row r="562" spans="1:8" x14ac:dyDescent="0.2">
      <c r="A562" s="5">
        <v>46174</v>
      </c>
      <c r="B562" t="s">
        <v>129</v>
      </c>
      <c r="C562" t="s">
        <v>114</v>
      </c>
      <c r="D562" t="s">
        <v>79</v>
      </c>
      <c r="F562" s="6">
        <v>6170</v>
      </c>
      <c r="G562" t="s">
        <v>46</v>
      </c>
      <c r="H562" t="s">
        <v>131</v>
      </c>
    </row>
    <row r="563" spans="1:8" x14ac:dyDescent="0.2">
      <c r="A563" s="5">
        <v>46174</v>
      </c>
      <c r="B563" t="s">
        <v>129</v>
      </c>
      <c r="C563" t="s">
        <v>114</v>
      </c>
      <c r="D563" t="s">
        <v>87</v>
      </c>
      <c r="F563" s="6">
        <v>4599</v>
      </c>
      <c r="G563" t="s">
        <v>46</v>
      </c>
      <c r="H563" t="s">
        <v>131</v>
      </c>
    </row>
    <row r="564" spans="1:8" x14ac:dyDescent="0.2">
      <c r="A564" s="5">
        <v>46174</v>
      </c>
      <c r="B564" t="s">
        <v>129</v>
      </c>
      <c r="C564" t="s">
        <v>114</v>
      </c>
      <c r="D564" t="s">
        <v>91</v>
      </c>
      <c r="F564" s="6">
        <v>2861</v>
      </c>
      <c r="G564" t="s">
        <v>46</v>
      </c>
      <c r="H564" t="s">
        <v>131</v>
      </c>
    </row>
    <row r="565" spans="1:8" x14ac:dyDescent="0.2">
      <c r="A565" s="5">
        <v>46174</v>
      </c>
      <c r="B565" t="s">
        <v>129</v>
      </c>
      <c r="C565" t="s">
        <v>118</v>
      </c>
      <c r="D565" t="s">
        <v>67</v>
      </c>
      <c r="F565" s="6">
        <v>228694</v>
      </c>
      <c r="G565" t="s">
        <v>46</v>
      </c>
      <c r="H565" t="s">
        <v>131</v>
      </c>
    </row>
    <row r="566" spans="1:8" x14ac:dyDescent="0.2">
      <c r="A566" s="5">
        <v>46174</v>
      </c>
      <c r="B566" t="s">
        <v>129</v>
      </c>
      <c r="C566" t="s">
        <v>118</v>
      </c>
      <c r="D566" t="s">
        <v>71</v>
      </c>
      <c r="F566" s="6">
        <v>48120</v>
      </c>
      <c r="G566" t="s">
        <v>46</v>
      </c>
      <c r="H566" t="s">
        <v>131</v>
      </c>
    </row>
    <row r="567" spans="1:8" x14ac:dyDescent="0.2">
      <c r="A567" s="5">
        <v>46174</v>
      </c>
      <c r="B567" t="s">
        <v>129</v>
      </c>
      <c r="C567" t="s">
        <v>118</v>
      </c>
      <c r="D567" t="s">
        <v>75</v>
      </c>
      <c r="F567" s="6">
        <v>23501</v>
      </c>
      <c r="G567" t="s">
        <v>46</v>
      </c>
      <c r="H567" t="s">
        <v>131</v>
      </c>
    </row>
    <row r="568" spans="1:8" x14ac:dyDescent="0.2">
      <c r="A568" s="5">
        <v>46174</v>
      </c>
      <c r="B568" t="s">
        <v>129</v>
      </c>
      <c r="C568" t="s">
        <v>118</v>
      </c>
      <c r="D568" t="s">
        <v>76</v>
      </c>
      <c r="F568" s="6">
        <v>14206</v>
      </c>
      <c r="G568" t="s">
        <v>46</v>
      </c>
      <c r="H568" t="s">
        <v>131</v>
      </c>
    </row>
    <row r="569" spans="1:8" x14ac:dyDescent="0.2">
      <c r="A569" s="5">
        <v>46174</v>
      </c>
      <c r="B569" t="s">
        <v>129</v>
      </c>
      <c r="C569" t="s">
        <v>118</v>
      </c>
      <c r="D569" t="s">
        <v>79</v>
      </c>
      <c r="F569" s="6">
        <v>10049</v>
      </c>
      <c r="G569" t="s">
        <v>46</v>
      </c>
      <c r="H569" t="s">
        <v>131</v>
      </c>
    </row>
    <row r="570" spans="1:8" x14ac:dyDescent="0.2">
      <c r="A570" s="5">
        <v>46174</v>
      </c>
      <c r="B570" t="s">
        <v>129</v>
      </c>
      <c r="C570" t="s">
        <v>118</v>
      </c>
      <c r="D570" t="s">
        <v>83</v>
      </c>
      <c r="F570" s="6">
        <v>131061</v>
      </c>
      <c r="G570" t="s">
        <v>46</v>
      </c>
      <c r="H570" t="s">
        <v>131</v>
      </c>
    </row>
    <row r="571" spans="1:8" x14ac:dyDescent="0.2">
      <c r="A571" s="5">
        <v>46174</v>
      </c>
      <c r="B571" t="s">
        <v>129</v>
      </c>
      <c r="C571" t="s">
        <v>118</v>
      </c>
      <c r="D571" t="s">
        <v>85</v>
      </c>
      <c r="F571" s="6">
        <v>73891</v>
      </c>
      <c r="G571" t="s">
        <v>46</v>
      </c>
      <c r="H571" t="s">
        <v>131</v>
      </c>
    </row>
    <row r="572" spans="1:8" x14ac:dyDescent="0.2">
      <c r="A572" s="5">
        <v>46174</v>
      </c>
      <c r="B572" t="s">
        <v>129</v>
      </c>
      <c r="C572" t="s">
        <v>118</v>
      </c>
      <c r="D572" t="s">
        <v>87</v>
      </c>
      <c r="F572" s="6">
        <v>6938</v>
      </c>
      <c r="G572" t="s">
        <v>46</v>
      </c>
      <c r="H572" t="s">
        <v>131</v>
      </c>
    </row>
    <row r="573" spans="1:8" x14ac:dyDescent="0.2">
      <c r="A573" s="5">
        <v>46174</v>
      </c>
      <c r="B573" t="s">
        <v>129</v>
      </c>
      <c r="C573" t="s">
        <v>118</v>
      </c>
      <c r="D573" t="s">
        <v>91</v>
      </c>
      <c r="F573" s="6">
        <v>4690</v>
      </c>
      <c r="G573" t="s">
        <v>46</v>
      </c>
      <c r="H573" t="s">
        <v>131</v>
      </c>
    </row>
    <row r="574" spans="1:8" x14ac:dyDescent="0.2">
      <c r="A574" s="5">
        <v>46174</v>
      </c>
      <c r="B574" t="s">
        <v>134</v>
      </c>
      <c r="C574" t="s">
        <v>122</v>
      </c>
      <c r="D574" t="s">
        <v>54</v>
      </c>
      <c r="E574" t="s">
        <v>130</v>
      </c>
      <c r="F574" s="6">
        <v>631866</v>
      </c>
      <c r="G574" t="s">
        <v>135</v>
      </c>
      <c r="H574" t="s">
        <v>131</v>
      </c>
    </row>
    <row r="575" spans="1:8" x14ac:dyDescent="0.2">
      <c r="A575" s="5">
        <v>46174</v>
      </c>
      <c r="B575" t="s">
        <v>134</v>
      </c>
      <c r="C575" t="s">
        <v>122</v>
      </c>
      <c r="D575" t="s">
        <v>54</v>
      </c>
      <c r="E575" t="s">
        <v>132</v>
      </c>
      <c r="F575" s="6">
        <v>336822</v>
      </c>
      <c r="G575" t="s">
        <v>135</v>
      </c>
      <c r="H575" t="s">
        <v>131</v>
      </c>
    </row>
    <row r="576" spans="1:8" x14ac:dyDescent="0.2">
      <c r="A576" s="5">
        <v>46174</v>
      </c>
      <c r="B576" t="s">
        <v>134</v>
      </c>
      <c r="C576" t="s">
        <v>122</v>
      </c>
      <c r="D576" t="s">
        <v>58</v>
      </c>
      <c r="E576" t="s">
        <v>133</v>
      </c>
      <c r="F576" s="6">
        <v>96512</v>
      </c>
      <c r="G576" t="s">
        <v>135</v>
      </c>
      <c r="H576" t="s">
        <v>131</v>
      </c>
    </row>
    <row r="577" spans="1:8" x14ac:dyDescent="0.2">
      <c r="A577" s="5">
        <v>46174</v>
      </c>
      <c r="B577" t="s">
        <v>134</v>
      </c>
      <c r="C577" t="s">
        <v>97</v>
      </c>
      <c r="D577" t="s">
        <v>67</v>
      </c>
      <c r="F577" s="6">
        <v>96760</v>
      </c>
      <c r="G577" t="s">
        <v>135</v>
      </c>
      <c r="H577" t="s">
        <v>131</v>
      </c>
    </row>
    <row r="578" spans="1:8" x14ac:dyDescent="0.2">
      <c r="A578" s="5">
        <v>46174</v>
      </c>
      <c r="B578" t="s">
        <v>134</v>
      </c>
      <c r="C578" t="s">
        <v>97</v>
      </c>
      <c r="D578" t="s">
        <v>71</v>
      </c>
      <c r="F578" s="6">
        <v>24308</v>
      </c>
      <c r="G578" t="s">
        <v>135</v>
      </c>
      <c r="H578" t="s">
        <v>131</v>
      </c>
    </row>
    <row r="579" spans="1:8" x14ac:dyDescent="0.2">
      <c r="A579" s="5">
        <v>46174</v>
      </c>
      <c r="B579" t="s">
        <v>134</v>
      </c>
      <c r="C579" t="s">
        <v>97</v>
      </c>
      <c r="D579" t="s">
        <v>73</v>
      </c>
      <c r="F579" s="6">
        <v>40557</v>
      </c>
      <c r="G579" t="s">
        <v>135</v>
      </c>
      <c r="H579" t="s">
        <v>131</v>
      </c>
    </row>
    <row r="580" spans="1:8" x14ac:dyDescent="0.2">
      <c r="A580" s="5">
        <v>46174</v>
      </c>
      <c r="B580" t="s">
        <v>134</v>
      </c>
      <c r="C580" t="s">
        <v>97</v>
      </c>
      <c r="D580" t="s">
        <v>75</v>
      </c>
      <c r="F580" s="6">
        <v>11693</v>
      </c>
      <c r="G580" t="s">
        <v>135</v>
      </c>
      <c r="H580" t="s">
        <v>131</v>
      </c>
    </row>
    <row r="581" spans="1:8" x14ac:dyDescent="0.2">
      <c r="A581" s="5">
        <v>46174</v>
      </c>
      <c r="B581" t="s">
        <v>134</v>
      </c>
      <c r="C581" t="s">
        <v>97</v>
      </c>
      <c r="D581" t="s">
        <v>76</v>
      </c>
      <c r="F581" s="6">
        <v>6030</v>
      </c>
      <c r="G581" t="s">
        <v>135</v>
      </c>
      <c r="H581" t="s">
        <v>131</v>
      </c>
    </row>
    <row r="582" spans="1:8" x14ac:dyDescent="0.2">
      <c r="A582" s="5">
        <v>46174</v>
      </c>
      <c r="B582" t="s">
        <v>134</v>
      </c>
      <c r="C582" t="s">
        <v>97</v>
      </c>
      <c r="D582" t="s">
        <v>79</v>
      </c>
      <c r="F582" s="6">
        <v>9044</v>
      </c>
      <c r="G582" t="s">
        <v>135</v>
      </c>
      <c r="H582" t="s">
        <v>131</v>
      </c>
    </row>
    <row r="583" spans="1:8" x14ac:dyDescent="0.2">
      <c r="A583" s="5">
        <v>46174</v>
      </c>
      <c r="B583" t="s">
        <v>134</v>
      </c>
      <c r="C583" t="s">
        <v>97</v>
      </c>
      <c r="D583" t="s">
        <v>87</v>
      </c>
      <c r="F583" s="6">
        <v>3579</v>
      </c>
      <c r="G583" t="s">
        <v>135</v>
      </c>
      <c r="H583" t="s">
        <v>131</v>
      </c>
    </row>
    <row r="584" spans="1:8" x14ac:dyDescent="0.2">
      <c r="A584" s="5">
        <v>46174</v>
      </c>
      <c r="B584" t="s">
        <v>134</v>
      </c>
      <c r="C584" t="s">
        <v>97</v>
      </c>
      <c r="D584" t="s">
        <v>91</v>
      </c>
      <c r="F584" s="6">
        <v>2469</v>
      </c>
      <c r="G584" t="s">
        <v>135</v>
      </c>
      <c r="H584" t="s">
        <v>131</v>
      </c>
    </row>
    <row r="585" spans="1:8" x14ac:dyDescent="0.2">
      <c r="A585" s="5">
        <v>46174</v>
      </c>
      <c r="B585" t="s">
        <v>134</v>
      </c>
      <c r="C585" t="s">
        <v>102</v>
      </c>
      <c r="D585" t="s">
        <v>67</v>
      </c>
      <c r="F585" s="6">
        <v>50867</v>
      </c>
      <c r="G585" t="s">
        <v>135</v>
      </c>
      <c r="H585" t="s">
        <v>131</v>
      </c>
    </row>
    <row r="586" spans="1:8" x14ac:dyDescent="0.2">
      <c r="A586" s="5">
        <v>46174</v>
      </c>
      <c r="B586" t="s">
        <v>134</v>
      </c>
      <c r="C586" t="s">
        <v>102</v>
      </c>
      <c r="D586" t="s">
        <v>71</v>
      </c>
      <c r="F586" s="6">
        <v>11287</v>
      </c>
      <c r="G586" t="s">
        <v>135</v>
      </c>
      <c r="H586" t="s">
        <v>131</v>
      </c>
    </row>
    <row r="587" spans="1:8" x14ac:dyDescent="0.2">
      <c r="A587" s="5">
        <v>46174</v>
      </c>
      <c r="B587" t="s">
        <v>134</v>
      </c>
      <c r="C587" t="s">
        <v>102</v>
      </c>
      <c r="D587" t="s">
        <v>75</v>
      </c>
      <c r="F587" s="6">
        <v>4978</v>
      </c>
      <c r="G587" t="s">
        <v>135</v>
      </c>
      <c r="H587" t="s">
        <v>131</v>
      </c>
    </row>
    <row r="588" spans="1:8" x14ac:dyDescent="0.2">
      <c r="A588" s="5">
        <v>46174</v>
      </c>
      <c r="B588" t="s">
        <v>134</v>
      </c>
      <c r="C588" t="s">
        <v>102</v>
      </c>
      <c r="D588" t="s">
        <v>76</v>
      </c>
      <c r="F588" s="6">
        <v>2967</v>
      </c>
      <c r="G588" t="s">
        <v>135</v>
      </c>
      <c r="H588" t="s">
        <v>131</v>
      </c>
    </row>
    <row r="589" spans="1:8" x14ac:dyDescent="0.2">
      <c r="A589" s="5">
        <v>46174</v>
      </c>
      <c r="B589" t="s">
        <v>134</v>
      </c>
      <c r="C589" t="s">
        <v>102</v>
      </c>
      <c r="D589" t="s">
        <v>79</v>
      </c>
      <c r="F589" s="6">
        <v>4361</v>
      </c>
      <c r="G589" t="s">
        <v>135</v>
      </c>
      <c r="H589" t="s">
        <v>131</v>
      </c>
    </row>
    <row r="590" spans="1:8" x14ac:dyDescent="0.2">
      <c r="A590" s="5">
        <v>46174</v>
      </c>
      <c r="B590" t="s">
        <v>134</v>
      </c>
      <c r="C590" t="s">
        <v>102</v>
      </c>
      <c r="D590" t="s">
        <v>81</v>
      </c>
      <c r="F590" s="6">
        <v>112303</v>
      </c>
      <c r="G590" t="s">
        <v>135</v>
      </c>
      <c r="H590" t="s">
        <v>131</v>
      </c>
    </row>
    <row r="591" spans="1:8" x14ac:dyDescent="0.2">
      <c r="A591" s="5">
        <v>46174</v>
      </c>
      <c r="B591" t="s">
        <v>134</v>
      </c>
      <c r="C591" t="s">
        <v>102</v>
      </c>
      <c r="D591" t="s">
        <v>87</v>
      </c>
      <c r="F591" s="6">
        <v>1408</v>
      </c>
      <c r="G591" t="s">
        <v>135</v>
      </c>
      <c r="H591" t="s">
        <v>131</v>
      </c>
    </row>
    <row r="592" spans="1:8" x14ac:dyDescent="0.2">
      <c r="A592" s="5">
        <v>46174</v>
      </c>
      <c r="B592" t="s">
        <v>134</v>
      </c>
      <c r="C592" t="s">
        <v>102</v>
      </c>
      <c r="D592" t="s">
        <v>91</v>
      </c>
      <c r="F592" s="6">
        <v>986</v>
      </c>
      <c r="G592" t="s">
        <v>135</v>
      </c>
      <c r="H592" t="s">
        <v>131</v>
      </c>
    </row>
    <row r="593" spans="1:8" x14ac:dyDescent="0.2">
      <c r="A593" s="5">
        <v>46174</v>
      </c>
      <c r="B593" t="s">
        <v>134</v>
      </c>
      <c r="C593" t="s">
        <v>106</v>
      </c>
      <c r="D593" t="s">
        <v>65</v>
      </c>
      <c r="F593" s="6">
        <v>23414</v>
      </c>
      <c r="G593" t="s">
        <v>135</v>
      </c>
      <c r="H593" t="s">
        <v>131</v>
      </c>
    </row>
    <row r="594" spans="1:8" x14ac:dyDescent="0.2">
      <c r="A594" s="5">
        <v>46174</v>
      </c>
      <c r="B594" t="s">
        <v>134</v>
      </c>
      <c r="C594" t="s">
        <v>106</v>
      </c>
      <c r="D594" t="s">
        <v>67</v>
      </c>
      <c r="F594" s="6">
        <v>54263</v>
      </c>
      <c r="G594" t="s">
        <v>135</v>
      </c>
      <c r="H594" t="s">
        <v>131</v>
      </c>
    </row>
    <row r="595" spans="1:8" x14ac:dyDescent="0.2">
      <c r="A595" s="5">
        <v>46174</v>
      </c>
      <c r="B595" t="s">
        <v>134</v>
      </c>
      <c r="C595" t="s">
        <v>106</v>
      </c>
      <c r="D595" t="s">
        <v>71</v>
      </c>
      <c r="F595" s="6">
        <v>13316</v>
      </c>
      <c r="G595" t="s">
        <v>135</v>
      </c>
      <c r="H595" t="s">
        <v>131</v>
      </c>
    </row>
    <row r="596" spans="1:8" x14ac:dyDescent="0.2">
      <c r="A596" s="5">
        <v>46174</v>
      </c>
      <c r="B596" t="s">
        <v>134</v>
      </c>
      <c r="C596" t="s">
        <v>106</v>
      </c>
      <c r="D596" t="s">
        <v>75</v>
      </c>
      <c r="F596" s="6">
        <v>5992</v>
      </c>
      <c r="G596" t="s">
        <v>135</v>
      </c>
      <c r="H596" t="s">
        <v>131</v>
      </c>
    </row>
    <row r="597" spans="1:8" x14ac:dyDescent="0.2">
      <c r="A597" s="5">
        <v>46174</v>
      </c>
      <c r="B597" t="s">
        <v>134</v>
      </c>
      <c r="C597" t="s">
        <v>106</v>
      </c>
      <c r="D597" t="s">
        <v>76</v>
      </c>
      <c r="F597" s="6">
        <v>3552</v>
      </c>
      <c r="G597" t="s">
        <v>135</v>
      </c>
      <c r="H597" t="s">
        <v>131</v>
      </c>
    </row>
    <row r="598" spans="1:8" x14ac:dyDescent="0.2">
      <c r="A598" s="5">
        <v>46174</v>
      </c>
      <c r="B598" t="s">
        <v>134</v>
      </c>
      <c r="C598" t="s">
        <v>106</v>
      </c>
      <c r="D598" t="s">
        <v>79</v>
      </c>
      <c r="F598" s="6">
        <v>2210</v>
      </c>
      <c r="G598" t="s">
        <v>135</v>
      </c>
      <c r="H598" t="s">
        <v>131</v>
      </c>
    </row>
    <row r="599" spans="1:8" x14ac:dyDescent="0.2">
      <c r="A599" s="5">
        <v>46174</v>
      </c>
      <c r="B599" t="s">
        <v>134</v>
      </c>
      <c r="C599" t="s">
        <v>106</v>
      </c>
      <c r="D599" t="s">
        <v>87</v>
      </c>
      <c r="F599" s="6">
        <v>1804</v>
      </c>
      <c r="G599" t="s">
        <v>135</v>
      </c>
      <c r="H599" t="s">
        <v>131</v>
      </c>
    </row>
    <row r="600" spans="1:8" x14ac:dyDescent="0.2">
      <c r="A600" s="5">
        <v>46174</v>
      </c>
      <c r="B600" t="s">
        <v>134</v>
      </c>
      <c r="C600" t="s">
        <v>106</v>
      </c>
      <c r="D600" t="s">
        <v>91</v>
      </c>
      <c r="F600" s="6">
        <v>1199</v>
      </c>
      <c r="G600" t="s">
        <v>135</v>
      </c>
      <c r="H600" t="s">
        <v>131</v>
      </c>
    </row>
    <row r="601" spans="1:8" x14ac:dyDescent="0.2">
      <c r="A601" s="5">
        <v>46174</v>
      </c>
      <c r="B601" t="s">
        <v>134</v>
      </c>
      <c r="C601" t="s">
        <v>110</v>
      </c>
      <c r="D601" t="s">
        <v>61</v>
      </c>
      <c r="F601" s="6">
        <v>175465</v>
      </c>
      <c r="G601" t="s">
        <v>135</v>
      </c>
      <c r="H601" t="s">
        <v>131</v>
      </c>
    </row>
    <row r="602" spans="1:8" x14ac:dyDescent="0.2">
      <c r="A602" s="5">
        <v>46174</v>
      </c>
      <c r="B602" t="s">
        <v>134</v>
      </c>
      <c r="C602" t="s">
        <v>110</v>
      </c>
      <c r="D602" t="s">
        <v>67</v>
      </c>
      <c r="F602" s="6">
        <v>172066</v>
      </c>
      <c r="G602" t="s">
        <v>135</v>
      </c>
      <c r="H602" t="s">
        <v>131</v>
      </c>
    </row>
    <row r="603" spans="1:8" x14ac:dyDescent="0.2">
      <c r="A603" s="5">
        <v>46174</v>
      </c>
      <c r="B603" t="s">
        <v>134</v>
      </c>
      <c r="C603" t="s">
        <v>110</v>
      </c>
      <c r="D603" t="s">
        <v>71</v>
      </c>
      <c r="F603" s="6">
        <v>38154</v>
      </c>
      <c r="G603" t="s">
        <v>135</v>
      </c>
      <c r="H603" t="s">
        <v>131</v>
      </c>
    </row>
    <row r="604" spans="1:8" x14ac:dyDescent="0.2">
      <c r="A604" s="5">
        <v>46174</v>
      </c>
      <c r="B604" t="s">
        <v>134</v>
      </c>
      <c r="C604" t="s">
        <v>110</v>
      </c>
      <c r="D604" t="s">
        <v>75</v>
      </c>
      <c r="F604" s="6">
        <v>17680</v>
      </c>
      <c r="G604" t="s">
        <v>135</v>
      </c>
      <c r="H604" t="s">
        <v>131</v>
      </c>
    </row>
    <row r="605" spans="1:8" x14ac:dyDescent="0.2">
      <c r="A605" s="5">
        <v>46174</v>
      </c>
      <c r="B605" t="s">
        <v>134</v>
      </c>
      <c r="C605" t="s">
        <v>110</v>
      </c>
      <c r="D605" t="s">
        <v>76</v>
      </c>
      <c r="F605" s="6">
        <v>10248</v>
      </c>
      <c r="G605" t="s">
        <v>135</v>
      </c>
      <c r="H605" t="s">
        <v>131</v>
      </c>
    </row>
    <row r="606" spans="1:8" x14ac:dyDescent="0.2">
      <c r="A606" s="5">
        <v>46174</v>
      </c>
      <c r="B606" t="s">
        <v>134</v>
      </c>
      <c r="C606" t="s">
        <v>110</v>
      </c>
      <c r="D606" t="s">
        <v>79</v>
      </c>
      <c r="F606" s="6">
        <v>6597</v>
      </c>
      <c r="G606" t="s">
        <v>135</v>
      </c>
      <c r="H606" t="s">
        <v>131</v>
      </c>
    </row>
    <row r="607" spans="1:8" x14ac:dyDescent="0.2">
      <c r="A607" s="5">
        <v>46174</v>
      </c>
      <c r="B607" t="s">
        <v>134</v>
      </c>
      <c r="C607" t="s">
        <v>110</v>
      </c>
      <c r="D607" t="s">
        <v>87</v>
      </c>
      <c r="F607" s="6">
        <v>5341</v>
      </c>
      <c r="G607" t="s">
        <v>135</v>
      </c>
      <c r="H607" t="s">
        <v>131</v>
      </c>
    </row>
    <row r="608" spans="1:8" x14ac:dyDescent="0.2">
      <c r="A608" s="5">
        <v>46174</v>
      </c>
      <c r="B608" t="s">
        <v>134</v>
      </c>
      <c r="C608" t="s">
        <v>110</v>
      </c>
      <c r="D608" t="s">
        <v>89</v>
      </c>
      <c r="F608" s="6">
        <v>30441</v>
      </c>
      <c r="G608" t="s">
        <v>135</v>
      </c>
      <c r="H608" t="s">
        <v>131</v>
      </c>
    </row>
    <row r="609" spans="1:8" x14ac:dyDescent="0.2">
      <c r="A609" s="5">
        <v>46174</v>
      </c>
      <c r="B609" t="s">
        <v>134</v>
      </c>
      <c r="C609" t="s">
        <v>110</v>
      </c>
      <c r="D609" t="s">
        <v>91</v>
      </c>
      <c r="F609" s="6">
        <v>3665</v>
      </c>
      <c r="G609" t="s">
        <v>135</v>
      </c>
      <c r="H609" t="s">
        <v>131</v>
      </c>
    </row>
    <row r="610" spans="1:8" x14ac:dyDescent="0.2">
      <c r="A610" s="5">
        <v>46174</v>
      </c>
      <c r="B610" t="s">
        <v>134</v>
      </c>
      <c r="C610" t="s">
        <v>114</v>
      </c>
      <c r="D610" t="s">
        <v>67</v>
      </c>
      <c r="F610" s="6">
        <v>48904</v>
      </c>
      <c r="G610" t="s">
        <v>135</v>
      </c>
      <c r="H610" t="s">
        <v>131</v>
      </c>
    </row>
    <row r="611" spans="1:8" x14ac:dyDescent="0.2">
      <c r="A611" s="5">
        <v>46174</v>
      </c>
      <c r="B611" t="s">
        <v>134</v>
      </c>
      <c r="C611" t="s">
        <v>114</v>
      </c>
      <c r="D611" t="s">
        <v>71</v>
      </c>
      <c r="F611" s="6">
        <v>9866</v>
      </c>
      <c r="G611" t="s">
        <v>135</v>
      </c>
      <c r="H611" t="s">
        <v>131</v>
      </c>
    </row>
    <row r="612" spans="1:8" x14ac:dyDescent="0.2">
      <c r="A612" s="5">
        <v>46174</v>
      </c>
      <c r="B612" t="s">
        <v>134</v>
      </c>
      <c r="C612" t="s">
        <v>114</v>
      </c>
      <c r="D612" t="s">
        <v>75</v>
      </c>
      <c r="F612" s="6">
        <v>5111</v>
      </c>
      <c r="G612" t="s">
        <v>135</v>
      </c>
      <c r="H612" t="s">
        <v>131</v>
      </c>
    </row>
    <row r="613" spans="1:8" x14ac:dyDescent="0.2">
      <c r="A613" s="5">
        <v>46174</v>
      </c>
      <c r="B613" t="s">
        <v>134</v>
      </c>
      <c r="C613" t="s">
        <v>114</v>
      </c>
      <c r="D613" t="s">
        <v>76</v>
      </c>
      <c r="F613" s="6">
        <v>2796</v>
      </c>
      <c r="G613" t="s">
        <v>135</v>
      </c>
      <c r="H613" t="s">
        <v>131</v>
      </c>
    </row>
    <row r="614" spans="1:8" x14ac:dyDescent="0.2">
      <c r="A614" s="5">
        <v>46174</v>
      </c>
      <c r="B614" t="s">
        <v>134</v>
      </c>
      <c r="C614" t="s">
        <v>114</v>
      </c>
      <c r="D614" t="s">
        <v>79</v>
      </c>
      <c r="F614" s="6">
        <v>1803</v>
      </c>
      <c r="G614" t="s">
        <v>135</v>
      </c>
      <c r="H614" t="s">
        <v>131</v>
      </c>
    </row>
    <row r="615" spans="1:8" x14ac:dyDescent="0.2">
      <c r="A615" s="5">
        <v>46174</v>
      </c>
      <c r="B615" t="s">
        <v>134</v>
      </c>
      <c r="C615" t="s">
        <v>114</v>
      </c>
      <c r="D615" t="s">
        <v>87</v>
      </c>
      <c r="F615" s="6">
        <v>1449</v>
      </c>
      <c r="G615" t="s">
        <v>135</v>
      </c>
      <c r="H615" t="s">
        <v>131</v>
      </c>
    </row>
    <row r="616" spans="1:8" x14ac:dyDescent="0.2">
      <c r="A616" s="5">
        <v>46174</v>
      </c>
      <c r="B616" t="s">
        <v>134</v>
      </c>
      <c r="C616" t="s">
        <v>114</v>
      </c>
      <c r="D616" t="s">
        <v>91</v>
      </c>
      <c r="F616" s="6">
        <v>918</v>
      </c>
      <c r="G616" t="s">
        <v>135</v>
      </c>
      <c r="H616" t="s">
        <v>131</v>
      </c>
    </row>
    <row r="617" spans="1:8" x14ac:dyDescent="0.2">
      <c r="A617" s="5">
        <v>46174</v>
      </c>
      <c r="B617" t="s">
        <v>134</v>
      </c>
      <c r="C617" t="s">
        <v>118</v>
      </c>
      <c r="D617" t="s">
        <v>67</v>
      </c>
      <c r="F617" s="6">
        <v>73542</v>
      </c>
      <c r="G617" t="s">
        <v>135</v>
      </c>
      <c r="H617" t="s">
        <v>131</v>
      </c>
    </row>
    <row r="618" spans="1:8" x14ac:dyDescent="0.2">
      <c r="A618" s="5">
        <v>46174</v>
      </c>
      <c r="B618" t="s">
        <v>134</v>
      </c>
      <c r="C618" t="s">
        <v>118</v>
      </c>
      <c r="D618" t="s">
        <v>71</v>
      </c>
      <c r="F618" s="6">
        <v>15713</v>
      </c>
      <c r="G618" t="s">
        <v>135</v>
      </c>
      <c r="H618" t="s">
        <v>131</v>
      </c>
    </row>
    <row r="619" spans="1:8" x14ac:dyDescent="0.2">
      <c r="A619" s="5">
        <v>46174</v>
      </c>
      <c r="B619" t="s">
        <v>134</v>
      </c>
      <c r="C619" t="s">
        <v>118</v>
      </c>
      <c r="D619" t="s">
        <v>75</v>
      </c>
      <c r="F619" s="6">
        <v>6950</v>
      </c>
      <c r="G619" t="s">
        <v>135</v>
      </c>
      <c r="H619" t="s">
        <v>131</v>
      </c>
    </row>
    <row r="620" spans="1:8" x14ac:dyDescent="0.2">
      <c r="A620" s="5">
        <v>46174</v>
      </c>
      <c r="B620" t="s">
        <v>134</v>
      </c>
      <c r="C620" t="s">
        <v>118</v>
      </c>
      <c r="D620" t="s">
        <v>76</v>
      </c>
      <c r="F620" s="6">
        <v>4256</v>
      </c>
      <c r="G620" t="s">
        <v>135</v>
      </c>
      <c r="H620" t="s">
        <v>131</v>
      </c>
    </row>
    <row r="621" spans="1:8" x14ac:dyDescent="0.2">
      <c r="A621" s="5">
        <v>46174</v>
      </c>
      <c r="B621" t="s">
        <v>134</v>
      </c>
      <c r="C621" t="s">
        <v>118</v>
      </c>
      <c r="D621" t="s">
        <v>79</v>
      </c>
      <c r="F621" s="6">
        <v>3059</v>
      </c>
      <c r="G621" t="s">
        <v>135</v>
      </c>
      <c r="H621" t="s">
        <v>131</v>
      </c>
    </row>
    <row r="622" spans="1:8" x14ac:dyDescent="0.2">
      <c r="A622" s="5">
        <v>46174</v>
      </c>
      <c r="B622" t="s">
        <v>134</v>
      </c>
      <c r="C622" t="s">
        <v>118</v>
      </c>
      <c r="D622" t="s">
        <v>83</v>
      </c>
      <c r="F622" s="6">
        <v>43009</v>
      </c>
      <c r="G622" t="s">
        <v>135</v>
      </c>
      <c r="H622" t="s">
        <v>131</v>
      </c>
    </row>
    <row r="623" spans="1:8" x14ac:dyDescent="0.2">
      <c r="A623" s="5">
        <v>46174</v>
      </c>
      <c r="B623" t="s">
        <v>134</v>
      </c>
      <c r="C623" t="s">
        <v>118</v>
      </c>
      <c r="D623" t="s">
        <v>85</v>
      </c>
      <c r="F623" s="6">
        <v>24835</v>
      </c>
      <c r="G623" t="s">
        <v>135</v>
      </c>
      <c r="H623" t="s">
        <v>131</v>
      </c>
    </row>
    <row r="624" spans="1:8" x14ac:dyDescent="0.2">
      <c r="A624" s="5">
        <v>46174</v>
      </c>
      <c r="B624" t="s">
        <v>134</v>
      </c>
      <c r="C624" t="s">
        <v>118</v>
      </c>
      <c r="D624" t="s">
        <v>87</v>
      </c>
      <c r="F624" s="6">
        <v>2301</v>
      </c>
      <c r="G624" t="s">
        <v>135</v>
      </c>
      <c r="H624" t="s">
        <v>131</v>
      </c>
    </row>
    <row r="625" spans="1:8" x14ac:dyDescent="0.2">
      <c r="A625" s="5">
        <v>46174</v>
      </c>
      <c r="B625" t="s">
        <v>134</v>
      </c>
      <c r="C625" t="s">
        <v>118</v>
      </c>
      <c r="D625" t="s">
        <v>91</v>
      </c>
      <c r="F625" s="6">
        <v>1505</v>
      </c>
      <c r="G625" t="s">
        <v>135</v>
      </c>
      <c r="H625" t="s">
        <v>131</v>
      </c>
    </row>
    <row r="626" spans="1:8" x14ac:dyDescent="0.2">
      <c r="A626" s="5">
        <v>46204</v>
      </c>
      <c r="B626" t="s">
        <v>129</v>
      </c>
      <c r="C626" t="s">
        <v>122</v>
      </c>
      <c r="D626" t="s">
        <v>54</v>
      </c>
      <c r="E626" t="s">
        <v>130</v>
      </c>
      <c r="F626" s="6">
        <v>1914429</v>
      </c>
      <c r="G626" t="s">
        <v>46</v>
      </c>
      <c r="H626" t="s">
        <v>131</v>
      </c>
    </row>
    <row r="627" spans="1:8" x14ac:dyDescent="0.2">
      <c r="A627" s="5">
        <v>46204</v>
      </c>
      <c r="B627" t="s">
        <v>129</v>
      </c>
      <c r="C627" t="s">
        <v>122</v>
      </c>
      <c r="D627" t="s">
        <v>54</v>
      </c>
      <c r="E627" t="s">
        <v>132</v>
      </c>
      <c r="F627" s="6">
        <v>1048004</v>
      </c>
      <c r="G627" t="s">
        <v>46</v>
      </c>
      <c r="H627" t="s">
        <v>131</v>
      </c>
    </row>
    <row r="628" spans="1:8" x14ac:dyDescent="0.2">
      <c r="A628" s="5">
        <v>46204</v>
      </c>
      <c r="B628" t="s">
        <v>129</v>
      </c>
      <c r="C628" t="s">
        <v>122</v>
      </c>
      <c r="D628" t="s">
        <v>58</v>
      </c>
      <c r="E628" t="s">
        <v>133</v>
      </c>
      <c r="F628" s="6">
        <v>294832</v>
      </c>
      <c r="G628" t="s">
        <v>46</v>
      </c>
      <c r="H628" t="s">
        <v>131</v>
      </c>
    </row>
    <row r="629" spans="1:8" x14ac:dyDescent="0.2">
      <c r="A629" s="5">
        <v>46204</v>
      </c>
      <c r="B629" t="s">
        <v>129</v>
      </c>
      <c r="C629" t="s">
        <v>97</v>
      </c>
      <c r="D629" t="s">
        <v>67</v>
      </c>
      <c r="F629" s="6">
        <v>347056</v>
      </c>
      <c r="G629" t="s">
        <v>46</v>
      </c>
      <c r="H629" t="s">
        <v>131</v>
      </c>
    </row>
    <row r="630" spans="1:8" x14ac:dyDescent="0.2">
      <c r="A630" s="5">
        <v>46204</v>
      </c>
      <c r="B630" t="s">
        <v>129</v>
      </c>
      <c r="C630" t="s">
        <v>97</v>
      </c>
      <c r="D630" t="s">
        <v>71</v>
      </c>
      <c r="F630" s="6">
        <v>74858</v>
      </c>
      <c r="G630" t="s">
        <v>46</v>
      </c>
      <c r="H630" t="s">
        <v>131</v>
      </c>
    </row>
    <row r="631" spans="1:8" x14ac:dyDescent="0.2">
      <c r="A631" s="5">
        <v>46204</v>
      </c>
      <c r="B631" t="s">
        <v>129</v>
      </c>
      <c r="C631" t="s">
        <v>97</v>
      </c>
      <c r="D631" t="s">
        <v>73</v>
      </c>
      <c r="F631" s="6">
        <v>125343</v>
      </c>
      <c r="G631" t="s">
        <v>46</v>
      </c>
      <c r="H631" t="s">
        <v>131</v>
      </c>
    </row>
    <row r="632" spans="1:8" x14ac:dyDescent="0.2">
      <c r="A632" s="5">
        <v>46204</v>
      </c>
      <c r="B632" t="s">
        <v>129</v>
      </c>
      <c r="C632" t="s">
        <v>97</v>
      </c>
      <c r="D632" t="s">
        <v>75</v>
      </c>
      <c r="F632" s="6">
        <v>33964</v>
      </c>
      <c r="G632" t="s">
        <v>46</v>
      </c>
      <c r="H632" t="s">
        <v>131</v>
      </c>
    </row>
    <row r="633" spans="1:8" x14ac:dyDescent="0.2">
      <c r="A633" s="5">
        <v>46204</v>
      </c>
      <c r="B633" t="s">
        <v>129</v>
      </c>
      <c r="C633" t="s">
        <v>97</v>
      </c>
      <c r="D633" t="s">
        <v>76</v>
      </c>
      <c r="F633" s="6">
        <v>21494</v>
      </c>
      <c r="G633" t="s">
        <v>46</v>
      </c>
      <c r="H633" t="s">
        <v>131</v>
      </c>
    </row>
    <row r="634" spans="1:8" x14ac:dyDescent="0.2">
      <c r="A634" s="5">
        <v>46204</v>
      </c>
      <c r="B634" t="s">
        <v>129</v>
      </c>
      <c r="C634" t="s">
        <v>97</v>
      </c>
      <c r="D634" t="s">
        <v>79</v>
      </c>
      <c r="F634" s="6">
        <v>27742</v>
      </c>
      <c r="G634" t="s">
        <v>46</v>
      </c>
      <c r="H634" t="s">
        <v>131</v>
      </c>
    </row>
    <row r="635" spans="1:8" x14ac:dyDescent="0.2">
      <c r="A635" s="5">
        <v>46204</v>
      </c>
      <c r="B635" t="s">
        <v>129</v>
      </c>
      <c r="C635" t="s">
        <v>97</v>
      </c>
      <c r="D635" t="s">
        <v>87</v>
      </c>
      <c r="F635" s="6">
        <v>10721</v>
      </c>
      <c r="G635" t="s">
        <v>46</v>
      </c>
      <c r="H635" t="s">
        <v>131</v>
      </c>
    </row>
    <row r="636" spans="1:8" x14ac:dyDescent="0.2">
      <c r="A636" s="5">
        <v>46204</v>
      </c>
      <c r="B636" t="s">
        <v>129</v>
      </c>
      <c r="C636" t="s">
        <v>97</v>
      </c>
      <c r="D636" t="s">
        <v>91</v>
      </c>
      <c r="F636" s="6">
        <v>6824</v>
      </c>
      <c r="G636" t="s">
        <v>46</v>
      </c>
      <c r="H636" t="s">
        <v>131</v>
      </c>
    </row>
    <row r="637" spans="1:8" x14ac:dyDescent="0.2">
      <c r="A637" s="5">
        <v>46204</v>
      </c>
      <c r="B637" t="s">
        <v>129</v>
      </c>
      <c r="C637" t="s">
        <v>102</v>
      </c>
      <c r="D637" t="s">
        <v>67</v>
      </c>
      <c r="F637" s="6">
        <v>157629</v>
      </c>
      <c r="G637" t="s">
        <v>46</v>
      </c>
      <c r="H637" t="s">
        <v>131</v>
      </c>
    </row>
    <row r="638" spans="1:8" x14ac:dyDescent="0.2">
      <c r="A638" s="5">
        <v>46204</v>
      </c>
      <c r="B638" t="s">
        <v>129</v>
      </c>
      <c r="C638" t="s">
        <v>102</v>
      </c>
      <c r="D638" t="s">
        <v>71</v>
      </c>
      <c r="F638" s="6">
        <v>35132</v>
      </c>
      <c r="G638" t="s">
        <v>46</v>
      </c>
      <c r="H638" t="s">
        <v>131</v>
      </c>
    </row>
    <row r="639" spans="1:8" x14ac:dyDescent="0.2">
      <c r="A639" s="5">
        <v>46204</v>
      </c>
      <c r="B639" t="s">
        <v>129</v>
      </c>
      <c r="C639" t="s">
        <v>102</v>
      </c>
      <c r="D639" t="s">
        <v>75</v>
      </c>
      <c r="F639" s="6">
        <v>16368</v>
      </c>
      <c r="G639" t="s">
        <v>46</v>
      </c>
      <c r="H639" t="s">
        <v>131</v>
      </c>
    </row>
    <row r="640" spans="1:8" x14ac:dyDescent="0.2">
      <c r="A640" s="5">
        <v>46204</v>
      </c>
      <c r="B640" t="s">
        <v>129</v>
      </c>
      <c r="C640" t="s">
        <v>102</v>
      </c>
      <c r="D640" t="s">
        <v>76</v>
      </c>
      <c r="F640" s="6">
        <v>9353</v>
      </c>
      <c r="G640" t="s">
        <v>46</v>
      </c>
      <c r="H640" t="s">
        <v>131</v>
      </c>
    </row>
    <row r="641" spans="1:8" x14ac:dyDescent="0.2">
      <c r="A641" s="5">
        <v>46204</v>
      </c>
      <c r="B641" t="s">
        <v>129</v>
      </c>
      <c r="C641" t="s">
        <v>102</v>
      </c>
      <c r="D641" t="s">
        <v>79</v>
      </c>
      <c r="F641" s="6">
        <v>13191</v>
      </c>
      <c r="G641" t="s">
        <v>46</v>
      </c>
      <c r="H641" t="s">
        <v>131</v>
      </c>
    </row>
    <row r="642" spans="1:8" x14ac:dyDescent="0.2">
      <c r="A642" s="5">
        <v>46204</v>
      </c>
      <c r="B642" t="s">
        <v>129</v>
      </c>
      <c r="C642" t="s">
        <v>102</v>
      </c>
      <c r="D642" t="s">
        <v>81</v>
      </c>
      <c r="F642" s="6">
        <v>209346</v>
      </c>
      <c r="G642" t="s">
        <v>46</v>
      </c>
      <c r="H642" t="s">
        <v>131</v>
      </c>
    </row>
    <row r="643" spans="1:8" x14ac:dyDescent="0.2">
      <c r="A643" s="5">
        <v>46204</v>
      </c>
      <c r="B643" t="s">
        <v>129</v>
      </c>
      <c r="C643" t="s">
        <v>102</v>
      </c>
      <c r="D643" t="s">
        <v>87</v>
      </c>
      <c r="F643" s="6">
        <v>4691</v>
      </c>
      <c r="G643" t="s">
        <v>46</v>
      </c>
      <c r="H643" t="s">
        <v>131</v>
      </c>
    </row>
    <row r="644" spans="1:8" x14ac:dyDescent="0.2">
      <c r="A644" s="5">
        <v>46204</v>
      </c>
      <c r="B644" t="s">
        <v>129</v>
      </c>
      <c r="C644" t="s">
        <v>102</v>
      </c>
      <c r="D644" t="s">
        <v>91</v>
      </c>
      <c r="F644" s="6">
        <v>3128</v>
      </c>
      <c r="G644" t="s">
        <v>46</v>
      </c>
      <c r="H644" t="s">
        <v>131</v>
      </c>
    </row>
    <row r="645" spans="1:8" x14ac:dyDescent="0.2">
      <c r="A645" s="5">
        <v>46204</v>
      </c>
      <c r="B645" t="s">
        <v>129</v>
      </c>
      <c r="C645" t="s">
        <v>106</v>
      </c>
      <c r="D645" t="s">
        <v>65</v>
      </c>
      <c r="F645" s="6">
        <v>75603</v>
      </c>
      <c r="G645" t="s">
        <v>46</v>
      </c>
      <c r="H645" t="s">
        <v>131</v>
      </c>
    </row>
    <row r="646" spans="1:8" x14ac:dyDescent="0.2">
      <c r="A646" s="5">
        <v>46204</v>
      </c>
      <c r="B646" t="s">
        <v>129</v>
      </c>
      <c r="C646" t="s">
        <v>106</v>
      </c>
      <c r="D646" t="s">
        <v>67</v>
      </c>
      <c r="F646" s="6">
        <v>180619</v>
      </c>
      <c r="G646" t="s">
        <v>46</v>
      </c>
      <c r="H646" t="s">
        <v>131</v>
      </c>
    </row>
    <row r="647" spans="1:8" x14ac:dyDescent="0.2">
      <c r="A647" s="5">
        <v>46204</v>
      </c>
      <c r="B647" t="s">
        <v>129</v>
      </c>
      <c r="C647" t="s">
        <v>106</v>
      </c>
      <c r="D647" t="s">
        <v>71</v>
      </c>
      <c r="F647" s="6">
        <v>38041</v>
      </c>
      <c r="G647" t="s">
        <v>46</v>
      </c>
      <c r="H647" t="s">
        <v>131</v>
      </c>
    </row>
    <row r="648" spans="1:8" x14ac:dyDescent="0.2">
      <c r="A648" s="5">
        <v>46204</v>
      </c>
      <c r="B648" t="s">
        <v>129</v>
      </c>
      <c r="C648" t="s">
        <v>106</v>
      </c>
      <c r="D648" t="s">
        <v>75</v>
      </c>
      <c r="F648" s="6">
        <v>17696</v>
      </c>
      <c r="G648" t="s">
        <v>46</v>
      </c>
      <c r="H648" t="s">
        <v>131</v>
      </c>
    </row>
    <row r="649" spans="1:8" x14ac:dyDescent="0.2">
      <c r="A649" s="5">
        <v>46204</v>
      </c>
      <c r="B649" t="s">
        <v>129</v>
      </c>
      <c r="C649" t="s">
        <v>106</v>
      </c>
      <c r="D649" t="s">
        <v>76</v>
      </c>
      <c r="F649" s="6">
        <v>11516</v>
      </c>
      <c r="G649" t="s">
        <v>46</v>
      </c>
      <c r="H649" t="s">
        <v>131</v>
      </c>
    </row>
    <row r="650" spans="1:8" x14ac:dyDescent="0.2">
      <c r="A650" s="5">
        <v>46204</v>
      </c>
      <c r="B650" t="s">
        <v>129</v>
      </c>
      <c r="C650" t="s">
        <v>106</v>
      </c>
      <c r="D650" t="s">
        <v>79</v>
      </c>
      <c r="F650" s="6">
        <v>7495</v>
      </c>
      <c r="G650" t="s">
        <v>46</v>
      </c>
      <c r="H650" t="s">
        <v>131</v>
      </c>
    </row>
    <row r="651" spans="1:8" x14ac:dyDescent="0.2">
      <c r="A651" s="5">
        <v>46204</v>
      </c>
      <c r="B651" t="s">
        <v>129</v>
      </c>
      <c r="C651" t="s">
        <v>106</v>
      </c>
      <c r="D651" t="s">
        <v>87</v>
      </c>
      <c r="F651" s="6">
        <v>5748</v>
      </c>
      <c r="G651" t="s">
        <v>46</v>
      </c>
      <c r="H651" t="s">
        <v>131</v>
      </c>
    </row>
    <row r="652" spans="1:8" x14ac:dyDescent="0.2">
      <c r="A652" s="5">
        <v>46204</v>
      </c>
      <c r="B652" t="s">
        <v>129</v>
      </c>
      <c r="C652" t="s">
        <v>106</v>
      </c>
      <c r="D652" t="s">
        <v>91</v>
      </c>
      <c r="F652" s="6">
        <v>3818</v>
      </c>
      <c r="G652" t="s">
        <v>46</v>
      </c>
      <c r="H652" t="s">
        <v>131</v>
      </c>
    </row>
    <row r="653" spans="1:8" x14ac:dyDescent="0.2">
      <c r="A653" s="5">
        <v>46204</v>
      </c>
      <c r="B653" t="s">
        <v>129</v>
      </c>
      <c r="C653" t="s">
        <v>110</v>
      </c>
      <c r="D653" t="s">
        <v>61</v>
      </c>
      <c r="F653" s="6">
        <v>537598</v>
      </c>
      <c r="G653" t="s">
        <v>46</v>
      </c>
      <c r="H653" t="s">
        <v>131</v>
      </c>
    </row>
    <row r="654" spans="1:8" x14ac:dyDescent="0.2">
      <c r="A654" s="5">
        <v>46204</v>
      </c>
      <c r="B654" t="s">
        <v>129</v>
      </c>
      <c r="C654" t="s">
        <v>110</v>
      </c>
      <c r="D654" t="s">
        <v>67</v>
      </c>
      <c r="F654" s="6">
        <v>515594</v>
      </c>
      <c r="G654" t="s">
        <v>46</v>
      </c>
      <c r="H654" t="s">
        <v>131</v>
      </c>
    </row>
    <row r="655" spans="1:8" x14ac:dyDescent="0.2">
      <c r="A655" s="5">
        <v>46204</v>
      </c>
      <c r="B655" t="s">
        <v>129</v>
      </c>
      <c r="C655" t="s">
        <v>110</v>
      </c>
      <c r="D655" t="s">
        <v>71</v>
      </c>
      <c r="F655" s="6">
        <v>111210</v>
      </c>
      <c r="G655" t="s">
        <v>46</v>
      </c>
      <c r="H655" t="s">
        <v>131</v>
      </c>
    </row>
    <row r="656" spans="1:8" x14ac:dyDescent="0.2">
      <c r="A656" s="5">
        <v>46204</v>
      </c>
      <c r="B656" t="s">
        <v>129</v>
      </c>
      <c r="C656" t="s">
        <v>110</v>
      </c>
      <c r="D656" t="s">
        <v>75</v>
      </c>
      <c r="F656" s="6">
        <v>49945</v>
      </c>
      <c r="G656" t="s">
        <v>46</v>
      </c>
      <c r="H656" t="s">
        <v>131</v>
      </c>
    </row>
    <row r="657" spans="1:8" x14ac:dyDescent="0.2">
      <c r="A657" s="5">
        <v>46204</v>
      </c>
      <c r="B657" t="s">
        <v>129</v>
      </c>
      <c r="C657" t="s">
        <v>110</v>
      </c>
      <c r="D657" t="s">
        <v>76</v>
      </c>
      <c r="F657" s="6">
        <v>33706</v>
      </c>
      <c r="G657" t="s">
        <v>46</v>
      </c>
      <c r="H657" t="s">
        <v>131</v>
      </c>
    </row>
    <row r="658" spans="1:8" x14ac:dyDescent="0.2">
      <c r="A658" s="5">
        <v>46204</v>
      </c>
      <c r="B658" t="s">
        <v>129</v>
      </c>
      <c r="C658" t="s">
        <v>110</v>
      </c>
      <c r="D658" t="s">
        <v>79</v>
      </c>
      <c r="F658" s="6">
        <v>21501</v>
      </c>
      <c r="G658" t="s">
        <v>46</v>
      </c>
      <c r="H658" t="s">
        <v>131</v>
      </c>
    </row>
    <row r="659" spans="1:8" x14ac:dyDescent="0.2">
      <c r="A659" s="5">
        <v>46204</v>
      </c>
      <c r="B659" t="s">
        <v>129</v>
      </c>
      <c r="C659" t="s">
        <v>110</v>
      </c>
      <c r="D659" t="s">
        <v>87</v>
      </c>
      <c r="F659" s="6">
        <v>17034</v>
      </c>
      <c r="G659" t="s">
        <v>46</v>
      </c>
      <c r="H659" t="s">
        <v>131</v>
      </c>
    </row>
    <row r="660" spans="1:8" x14ac:dyDescent="0.2">
      <c r="A660" s="5">
        <v>46204</v>
      </c>
      <c r="B660" t="s">
        <v>129</v>
      </c>
      <c r="C660" t="s">
        <v>110</v>
      </c>
      <c r="D660" t="s">
        <v>89</v>
      </c>
      <c r="F660" s="6">
        <v>95732</v>
      </c>
      <c r="G660" t="s">
        <v>46</v>
      </c>
      <c r="H660" t="s">
        <v>131</v>
      </c>
    </row>
    <row r="661" spans="1:8" x14ac:dyDescent="0.2">
      <c r="A661" s="5">
        <v>46204</v>
      </c>
      <c r="B661" t="s">
        <v>129</v>
      </c>
      <c r="C661" t="s">
        <v>110</v>
      </c>
      <c r="D661" t="s">
        <v>91</v>
      </c>
      <c r="F661" s="6">
        <v>11667</v>
      </c>
      <c r="G661" t="s">
        <v>46</v>
      </c>
      <c r="H661" t="s">
        <v>131</v>
      </c>
    </row>
    <row r="662" spans="1:8" x14ac:dyDescent="0.2">
      <c r="A662" s="5">
        <v>46204</v>
      </c>
      <c r="B662" t="s">
        <v>129</v>
      </c>
      <c r="C662" t="s">
        <v>114</v>
      </c>
      <c r="D662" t="s">
        <v>67</v>
      </c>
      <c r="F662" s="6">
        <v>151159</v>
      </c>
      <c r="G662" t="s">
        <v>46</v>
      </c>
      <c r="H662" t="s">
        <v>131</v>
      </c>
    </row>
    <row r="663" spans="1:8" x14ac:dyDescent="0.2">
      <c r="A663" s="5">
        <v>46204</v>
      </c>
      <c r="B663" t="s">
        <v>129</v>
      </c>
      <c r="C663" t="s">
        <v>114</v>
      </c>
      <c r="D663" t="s">
        <v>71</v>
      </c>
      <c r="F663" s="6">
        <v>32929</v>
      </c>
      <c r="G663" t="s">
        <v>46</v>
      </c>
      <c r="H663" t="s">
        <v>131</v>
      </c>
    </row>
    <row r="664" spans="1:8" x14ac:dyDescent="0.2">
      <c r="A664" s="5">
        <v>46204</v>
      </c>
      <c r="B664" t="s">
        <v>129</v>
      </c>
      <c r="C664" t="s">
        <v>114</v>
      </c>
      <c r="D664" t="s">
        <v>75</v>
      </c>
      <c r="F664" s="6">
        <v>16021</v>
      </c>
      <c r="G664" t="s">
        <v>46</v>
      </c>
      <c r="H664" t="s">
        <v>131</v>
      </c>
    </row>
    <row r="665" spans="1:8" x14ac:dyDescent="0.2">
      <c r="A665" s="5">
        <v>46204</v>
      </c>
      <c r="B665" t="s">
        <v>129</v>
      </c>
      <c r="C665" t="s">
        <v>114</v>
      </c>
      <c r="D665" t="s">
        <v>76</v>
      </c>
      <c r="F665" s="6">
        <v>8887</v>
      </c>
      <c r="G665" t="s">
        <v>46</v>
      </c>
      <c r="H665" t="s">
        <v>131</v>
      </c>
    </row>
    <row r="666" spans="1:8" x14ac:dyDescent="0.2">
      <c r="A666" s="5">
        <v>46204</v>
      </c>
      <c r="B666" t="s">
        <v>129</v>
      </c>
      <c r="C666" t="s">
        <v>114</v>
      </c>
      <c r="D666" t="s">
        <v>79</v>
      </c>
      <c r="F666" s="6">
        <v>5918</v>
      </c>
      <c r="G666" t="s">
        <v>46</v>
      </c>
      <c r="H666" t="s">
        <v>131</v>
      </c>
    </row>
    <row r="667" spans="1:8" x14ac:dyDescent="0.2">
      <c r="A667" s="5">
        <v>46204</v>
      </c>
      <c r="B667" t="s">
        <v>129</v>
      </c>
      <c r="C667" t="s">
        <v>114</v>
      </c>
      <c r="D667" t="s">
        <v>87</v>
      </c>
      <c r="F667" s="6">
        <v>4317</v>
      </c>
      <c r="G667" t="s">
        <v>46</v>
      </c>
      <c r="H667" t="s">
        <v>131</v>
      </c>
    </row>
    <row r="668" spans="1:8" x14ac:dyDescent="0.2">
      <c r="A668" s="5">
        <v>46204</v>
      </c>
      <c r="B668" t="s">
        <v>129</v>
      </c>
      <c r="C668" t="s">
        <v>114</v>
      </c>
      <c r="D668" t="s">
        <v>91</v>
      </c>
      <c r="F668" s="6">
        <v>3098</v>
      </c>
      <c r="G668" t="s">
        <v>46</v>
      </c>
      <c r="H668" t="s">
        <v>131</v>
      </c>
    </row>
    <row r="669" spans="1:8" x14ac:dyDescent="0.2">
      <c r="A669" s="5">
        <v>46204</v>
      </c>
      <c r="B669" t="s">
        <v>129</v>
      </c>
      <c r="C669" t="s">
        <v>118</v>
      </c>
      <c r="D669" t="s">
        <v>67</v>
      </c>
      <c r="F669" s="6">
        <v>230862</v>
      </c>
      <c r="G669" t="s">
        <v>46</v>
      </c>
      <c r="H669" t="s">
        <v>131</v>
      </c>
    </row>
    <row r="670" spans="1:8" x14ac:dyDescent="0.2">
      <c r="A670" s="5">
        <v>46204</v>
      </c>
      <c r="B670" t="s">
        <v>129</v>
      </c>
      <c r="C670" t="s">
        <v>118</v>
      </c>
      <c r="D670" t="s">
        <v>71</v>
      </c>
      <c r="F670" s="6">
        <v>51839</v>
      </c>
      <c r="G670" t="s">
        <v>46</v>
      </c>
      <c r="H670" t="s">
        <v>131</v>
      </c>
    </row>
    <row r="671" spans="1:8" x14ac:dyDescent="0.2">
      <c r="A671" s="5">
        <v>46204</v>
      </c>
      <c r="B671" t="s">
        <v>129</v>
      </c>
      <c r="C671" t="s">
        <v>118</v>
      </c>
      <c r="D671" t="s">
        <v>75</v>
      </c>
      <c r="F671" s="6">
        <v>22416</v>
      </c>
      <c r="G671" t="s">
        <v>46</v>
      </c>
      <c r="H671" t="s">
        <v>131</v>
      </c>
    </row>
    <row r="672" spans="1:8" x14ac:dyDescent="0.2">
      <c r="A672" s="5">
        <v>46204</v>
      </c>
      <c r="B672" t="s">
        <v>129</v>
      </c>
      <c r="C672" t="s">
        <v>118</v>
      </c>
      <c r="D672" t="s">
        <v>76</v>
      </c>
      <c r="F672" s="6">
        <v>14316</v>
      </c>
      <c r="G672" t="s">
        <v>46</v>
      </c>
      <c r="H672" t="s">
        <v>131</v>
      </c>
    </row>
    <row r="673" spans="1:8" x14ac:dyDescent="0.2">
      <c r="A673" s="5">
        <v>46204</v>
      </c>
      <c r="B673" t="s">
        <v>129</v>
      </c>
      <c r="C673" t="s">
        <v>118</v>
      </c>
      <c r="D673" t="s">
        <v>79</v>
      </c>
      <c r="F673" s="6">
        <v>9319</v>
      </c>
      <c r="G673" t="s">
        <v>46</v>
      </c>
      <c r="H673" t="s">
        <v>131</v>
      </c>
    </row>
    <row r="674" spans="1:8" x14ac:dyDescent="0.2">
      <c r="A674" s="5">
        <v>46204</v>
      </c>
      <c r="B674" t="s">
        <v>129</v>
      </c>
      <c r="C674" t="s">
        <v>118</v>
      </c>
      <c r="D674" t="s">
        <v>83</v>
      </c>
      <c r="F674" s="6">
        <v>135274</v>
      </c>
      <c r="G674" t="s">
        <v>46</v>
      </c>
      <c r="H674" t="s">
        <v>131</v>
      </c>
    </row>
    <row r="675" spans="1:8" x14ac:dyDescent="0.2">
      <c r="A675" s="5">
        <v>46204</v>
      </c>
      <c r="B675" t="s">
        <v>129</v>
      </c>
      <c r="C675" t="s">
        <v>118</v>
      </c>
      <c r="D675" t="s">
        <v>85</v>
      </c>
      <c r="F675" s="6">
        <v>73852</v>
      </c>
      <c r="G675" t="s">
        <v>46</v>
      </c>
      <c r="H675" t="s">
        <v>131</v>
      </c>
    </row>
    <row r="676" spans="1:8" x14ac:dyDescent="0.2">
      <c r="A676" s="5">
        <v>46204</v>
      </c>
      <c r="B676" t="s">
        <v>129</v>
      </c>
      <c r="C676" t="s">
        <v>118</v>
      </c>
      <c r="D676" t="s">
        <v>87</v>
      </c>
      <c r="F676" s="6">
        <v>7205</v>
      </c>
      <c r="G676" t="s">
        <v>46</v>
      </c>
      <c r="H676" t="s">
        <v>131</v>
      </c>
    </row>
    <row r="677" spans="1:8" x14ac:dyDescent="0.2">
      <c r="A677" s="5">
        <v>46204</v>
      </c>
      <c r="B677" t="s">
        <v>129</v>
      </c>
      <c r="C677" t="s">
        <v>118</v>
      </c>
      <c r="D677" t="s">
        <v>91</v>
      </c>
      <c r="F677" s="6">
        <v>4430</v>
      </c>
      <c r="G677" t="s">
        <v>46</v>
      </c>
      <c r="H677" t="s">
        <v>131</v>
      </c>
    </row>
    <row r="678" spans="1:8" x14ac:dyDescent="0.2">
      <c r="A678" s="5">
        <v>46204</v>
      </c>
      <c r="B678" t="s">
        <v>134</v>
      </c>
      <c r="C678" t="s">
        <v>122</v>
      </c>
      <c r="D678" t="s">
        <v>54</v>
      </c>
      <c r="E678" t="s">
        <v>130</v>
      </c>
      <c r="F678" s="6">
        <v>628885</v>
      </c>
      <c r="G678" t="s">
        <v>135</v>
      </c>
      <c r="H678" t="s">
        <v>131</v>
      </c>
    </row>
    <row r="679" spans="1:8" x14ac:dyDescent="0.2">
      <c r="A679" s="5">
        <v>46204</v>
      </c>
      <c r="B679" t="s">
        <v>134</v>
      </c>
      <c r="C679" t="s">
        <v>122</v>
      </c>
      <c r="D679" t="s">
        <v>54</v>
      </c>
      <c r="E679" t="s">
        <v>132</v>
      </c>
      <c r="F679" s="6">
        <v>339722</v>
      </c>
      <c r="G679" t="s">
        <v>135</v>
      </c>
      <c r="H679" t="s">
        <v>131</v>
      </c>
    </row>
    <row r="680" spans="1:8" x14ac:dyDescent="0.2">
      <c r="A680" s="5">
        <v>46204</v>
      </c>
      <c r="B680" t="s">
        <v>134</v>
      </c>
      <c r="C680" t="s">
        <v>122</v>
      </c>
      <c r="D680" t="s">
        <v>58</v>
      </c>
      <c r="E680" t="s">
        <v>133</v>
      </c>
      <c r="F680" s="6">
        <v>98503</v>
      </c>
      <c r="G680" t="s">
        <v>135</v>
      </c>
      <c r="H680" t="s">
        <v>131</v>
      </c>
    </row>
    <row r="681" spans="1:8" x14ac:dyDescent="0.2">
      <c r="A681" s="5">
        <v>46204</v>
      </c>
      <c r="B681" t="s">
        <v>134</v>
      </c>
      <c r="C681" t="s">
        <v>97</v>
      </c>
      <c r="D681" t="s">
        <v>67</v>
      </c>
      <c r="F681" s="6">
        <v>108157</v>
      </c>
      <c r="G681" t="s">
        <v>135</v>
      </c>
      <c r="H681" t="s">
        <v>131</v>
      </c>
    </row>
    <row r="682" spans="1:8" x14ac:dyDescent="0.2">
      <c r="A682" s="5">
        <v>46204</v>
      </c>
      <c r="B682" t="s">
        <v>134</v>
      </c>
      <c r="C682" t="s">
        <v>97</v>
      </c>
      <c r="D682" t="s">
        <v>71</v>
      </c>
      <c r="F682" s="6">
        <v>24054</v>
      </c>
      <c r="G682" t="s">
        <v>135</v>
      </c>
      <c r="H682" t="s">
        <v>131</v>
      </c>
    </row>
    <row r="683" spans="1:8" x14ac:dyDescent="0.2">
      <c r="A683" s="5">
        <v>46204</v>
      </c>
      <c r="B683" t="s">
        <v>134</v>
      </c>
      <c r="C683" t="s">
        <v>97</v>
      </c>
      <c r="D683" t="s">
        <v>73</v>
      </c>
      <c r="F683" s="6">
        <v>42235</v>
      </c>
      <c r="G683" t="s">
        <v>135</v>
      </c>
      <c r="H683" t="s">
        <v>131</v>
      </c>
    </row>
    <row r="684" spans="1:8" x14ac:dyDescent="0.2">
      <c r="A684" s="5">
        <v>46204</v>
      </c>
      <c r="B684" t="s">
        <v>134</v>
      </c>
      <c r="C684" t="s">
        <v>97</v>
      </c>
      <c r="D684" t="s">
        <v>75</v>
      </c>
      <c r="F684" s="6">
        <v>11491</v>
      </c>
      <c r="G684" t="s">
        <v>135</v>
      </c>
      <c r="H684" t="s">
        <v>131</v>
      </c>
    </row>
    <row r="685" spans="1:8" x14ac:dyDescent="0.2">
      <c r="A685" s="5">
        <v>46204</v>
      </c>
      <c r="B685" t="s">
        <v>134</v>
      </c>
      <c r="C685" t="s">
        <v>97</v>
      </c>
      <c r="D685" t="s">
        <v>76</v>
      </c>
      <c r="F685" s="6">
        <v>7037</v>
      </c>
      <c r="G685" t="s">
        <v>135</v>
      </c>
      <c r="H685" t="s">
        <v>131</v>
      </c>
    </row>
    <row r="686" spans="1:8" x14ac:dyDescent="0.2">
      <c r="A686" s="5">
        <v>46204</v>
      </c>
      <c r="B686" t="s">
        <v>134</v>
      </c>
      <c r="C686" t="s">
        <v>97</v>
      </c>
      <c r="D686" t="s">
        <v>79</v>
      </c>
      <c r="F686" s="6">
        <v>8736</v>
      </c>
      <c r="G686" t="s">
        <v>135</v>
      </c>
      <c r="H686" t="s">
        <v>131</v>
      </c>
    </row>
    <row r="687" spans="1:8" x14ac:dyDescent="0.2">
      <c r="A687" s="5">
        <v>46204</v>
      </c>
      <c r="B687" t="s">
        <v>134</v>
      </c>
      <c r="C687" t="s">
        <v>97</v>
      </c>
      <c r="D687" t="s">
        <v>87</v>
      </c>
      <c r="F687" s="6">
        <v>3591</v>
      </c>
      <c r="G687" t="s">
        <v>135</v>
      </c>
      <c r="H687" t="s">
        <v>131</v>
      </c>
    </row>
    <row r="688" spans="1:8" x14ac:dyDescent="0.2">
      <c r="A688" s="5">
        <v>46204</v>
      </c>
      <c r="B688" t="s">
        <v>134</v>
      </c>
      <c r="C688" t="s">
        <v>97</v>
      </c>
      <c r="D688" t="s">
        <v>91</v>
      </c>
      <c r="F688" s="6">
        <v>2283</v>
      </c>
      <c r="G688" t="s">
        <v>135</v>
      </c>
      <c r="H688" t="s">
        <v>131</v>
      </c>
    </row>
    <row r="689" spans="1:8" x14ac:dyDescent="0.2">
      <c r="A689" s="5">
        <v>46204</v>
      </c>
      <c r="B689" t="s">
        <v>134</v>
      </c>
      <c r="C689" t="s">
        <v>102</v>
      </c>
      <c r="D689" t="s">
        <v>67</v>
      </c>
      <c r="F689" s="6">
        <v>49499</v>
      </c>
      <c r="G689" t="s">
        <v>135</v>
      </c>
      <c r="H689" t="s">
        <v>131</v>
      </c>
    </row>
    <row r="690" spans="1:8" x14ac:dyDescent="0.2">
      <c r="A690" s="5">
        <v>46204</v>
      </c>
      <c r="B690" t="s">
        <v>134</v>
      </c>
      <c r="C690" t="s">
        <v>102</v>
      </c>
      <c r="D690" t="s">
        <v>71</v>
      </c>
      <c r="F690" s="6">
        <v>11214</v>
      </c>
      <c r="G690" t="s">
        <v>135</v>
      </c>
      <c r="H690" t="s">
        <v>131</v>
      </c>
    </row>
    <row r="691" spans="1:8" x14ac:dyDescent="0.2">
      <c r="A691" s="5">
        <v>46204</v>
      </c>
      <c r="B691" t="s">
        <v>134</v>
      </c>
      <c r="C691" t="s">
        <v>102</v>
      </c>
      <c r="D691" t="s">
        <v>75</v>
      </c>
      <c r="F691" s="6">
        <v>5401</v>
      </c>
      <c r="G691" t="s">
        <v>135</v>
      </c>
      <c r="H691" t="s">
        <v>131</v>
      </c>
    </row>
    <row r="692" spans="1:8" x14ac:dyDescent="0.2">
      <c r="A692" s="5">
        <v>46204</v>
      </c>
      <c r="B692" t="s">
        <v>134</v>
      </c>
      <c r="C692" t="s">
        <v>102</v>
      </c>
      <c r="D692" t="s">
        <v>76</v>
      </c>
      <c r="F692" s="6">
        <v>2854</v>
      </c>
      <c r="G692" t="s">
        <v>135</v>
      </c>
      <c r="H692" t="s">
        <v>131</v>
      </c>
    </row>
    <row r="693" spans="1:8" x14ac:dyDescent="0.2">
      <c r="A693" s="5">
        <v>46204</v>
      </c>
      <c r="B693" t="s">
        <v>134</v>
      </c>
      <c r="C693" t="s">
        <v>102</v>
      </c>
      <c r="D693" t="s">
        <v>79</v>
      </c>
      <c r="F693" s="6">
        <v>4151</v>
      </c>
      <c r="G693" t="s">
        <v>135</v>
      </c>
      <c r="H693" t="s">
        <v>131</v>
      </c>
    </row>
    <row r="694" spans="1:8" x14ac:dyDescent="0.2">
      <c r="A694" s="5">
        <v>46204</v>
      </c>
      <c r="B694" t="s">
        <v>134</v>
      </c>
      <c r="C694" t="s">
        <v>102</v>
      </c>
      <c r="D694" t="s">
        <v>81</v>
      </c>
      <c r="F694" s="6">
        <v>71389</v>
      </c>
      <c r="G694" t="s">
        <v>135</v>
      </c>
      <c r="H694" t="s">
        <v>131</v>
      </c>
    </row>
    <row r="695" spans="1:8" x14ac:dyDescent="0.2">
      <c r="A695" s="5">
        <v>46204</v>
      </c>
      <c r="B695" t="s">
        <v>134</v>
      </c>
      <c r="C695" t="s">
        <v>102</v>
      </c>
      <c r="D695" t="s">
        <v>87</v>
      </c>
      <c r="F695" s="6">
        <v>1441</v>
      </c>
      <c r="G695" t="s">
        <v>135</v>
      </c>
      <c r="H695" t="s">
        <v>131</v>
      </c>
    </row>
    <row r="696" spans="1:8" x14ac:dyDescent="0.2">
      <c r="A696" s="5">
        <v>46204</v>
      </c>
      <c r="B696" t="s">
        <v>134</v>
      </c>
      <c r="C696" t="s">
        <v>102</v>
      </c>
      <c r="D696" t="s">
        <v>91</v>
      </c>
      <c r="F696" s="6">
        <v>1043</v>
      </c>
      <c r="G696" t="s">
        <v>135</v>
      </c>
      <c r="H696" t="s">
        <v>131</v>
      </c>
    </row>
    <row r="697" spans="1:8" x14ac:dyDescent="0.2">
      <c r="A697" s="5">
        <v>46204</v>
      </c>
      <c r="B697" t="s">
        <v>134</v>
      </c>
      <c r="C697" t="s">
        <v>106</v>
      </c>
      <c r="D697" t="s">
        <v>65</v>
      </c>
      <c r="F697" s="6">
        <v>23191</v>
      </c>
      <c r="G697" t="s">
        <v>135</v>
      </c>
      <c r="H697" t="s">
        <v>131</v>
      </c>
    </row>
    <row r="698" spans="1:8" x14ac:dyDescent="0.2">
      <c r="A698" s="5">
        <v>46204</v>
      </c>
      <c r="B698" t="s">
        <v>134</v>
      </c>
      <c r="C698" t="s">
        <v>106</v>
      </c>
      <c r="D698" t="s">
        <v>67</v>
      </c>
      <c r="F698" s="6">
        <v>58373</v>
      </c>
      <c r="G698" t="s">
        <v>135</v>
      </c>
      <c r="H698" t="s">
        <v>131</v>
      </c>
    </row>
    <row r="699" spans="1:8" x14ac:dyDescent="0.2">
      <c r="A699" s="5">
        <v>46204</v>
      </c>
      <c r="B699" t="s">
        <v>134</v>
      </c>
      <c r="C699" t="s">
        <v>106</v>
      </c>
      <c r="D699" t="s">
        <v>71</v>
      </c>
      <c r="F699" s="6">
        <v>12737</v>
      </c>
      <c r="G699" t="s">
        <v>135</v>
      </c>
      <c r="H699" t="s">
        <v>131</v>
      </c>
    </row>
    <row r="700" spans="1:8" x14ac:dyDescent="0.2">
      <c r="A700" s="5">
        <v>46204</v>
      </c>
      <c r="B700" t="s">
        <v>134</v>
      </c>
      <c r="C700" t="s">
        <v>106</v>
      </c>
      <c r="D700" t="s">
        <v>75</v>
      </c>
      <c r="F700" s="6">
        <v>5228</v>
      </c>
      <c r="G700" t="s">
        <v>135</v>
      </c>
      <c r="H700" t="s">
        <v>131</v>
      </c>
    </row>
    <row r="701" spans="1:8" x14ac:dyDescent="0.2">
      <c r="A701" s="5">
        <v>46204</v>
      </c>
      <c r="B701" t="s">
        <v>134</v>
      </c>
      <c r="C701" t="s">
        <v>106</v>
      </c>
      <c r="D701" t="s">
        <v>76</v>
      </c>
      <c r="F701" s="6">
        <v>3744</v>
      </c>
      <c r="G701" t="s">
        <v>135</v>
      </c>
      <c r="H701" t="s">
        <v>131</v>
      </c>
    </row>
    <row r="702" spans="1:8" x14ac:dyDescent="0.2">
      <c r="A702" s="5">
        <v>46204</v>
      </c>
      <c r="B702" t="s">
        <v>134</v>
      </c>
      <c r="C702" t="s">
        <v>106</v>
      </c>
      <c r="D702" t="s">
        <v>79</v>
      </c>
      <c r="F702" s="6">
        <v>2221</v>
      </c>
      <c r="G702" t="s">
        <v>135</v>
      </c>
      <c r="H702" t="s">
        <v>131</v>
      </c>
    </row>
    <row r="703" spans="1:8" x14ac:dyDescent="0.2">
      <c r="A703" s="5">
        <v>46204</v>
      </c>
      <c r="B703" t="s">
        <v>134</v>
      </c>
      <c r="C703" t="s">
        <v>106</v>
      </c>
      <c r="D703" t="s">
        <v>87</v>
      </c>
      <c r="F703" s="6">
        <v>1803</v>
      </c>
      <c r="G703" t="s">
        <v>135</v>
      </c>
      <c r="H703" t="s">
        <v>131</v>
      </c>
    </row>
    <row r="704" spans="1:8" x14ac:dyDescent="0.2">
      <c r="A704" s="5">
        <v>46204</v>
      </c>
      <c r="B704" t="s">
        <v>134</v>
      </c>
      <c r="C704" t="s">
        <v>106</v>
      </c>
      <c r="D704" t="s">
        <v>91</v>
      </c>
      <c r="F704" s="6">
        <v>1173</v>
      </c>
      <c r="G704" t="s">
        <v>135</v>
      </c>
      <c r="H704" t="s">
        <v>131</v>
      </c>
    </row>
    <row r="705" spans="1:8" x14ac:dyDescent="0.2">
      <c r="A705" s="5">
        <v>46204</v>
      </c>
      <c r="B705" t="s">
        <v>134</v>
      </c>
      <c r="C705" t="s">
        <v>110</v>
      </c>
      <c r="D705" t="s">
        <v>61</v>
      </c>
      <c r="F705" s="6">
        <v>176617</v>
      </c>
      <c r="G705" t="s">
        <v>135</v>
      </c>
      <c r="H705" t="s">
        <v>131</v>
      </c>
    </row>
    <row r="706" spans="1:8" x14ac:dyDescent="0.2">
      <c r="A706" s="5">
        <v>46204</v>
      </c>
      <c r="B706" t="s">
        <v>134</v>
      </c>
      <c r="C706" t="s">
        <v>110</v>
      </c>
      <c r="D706" t="s">
        <v>67</v>
      </c>
      <c r="F706" s="6">
        <v>165524</v>
      </c>
      <c r="G706" t="s">
        <v>135</v>
      </c>
      <c r="H706" t="s">
        <v>131</v>
      </c>
    </row>
    <row r="707" spans="1:8" x14ac:dyDescent="0.2">
      <c r="A707" s="5">
        <v>46204</v>
      </c>
      <c r="B707" t="s">
        <v>134</v>
      </c>
      <c r="C707" t="s">
        <v>110</v>
      </c>
      <c r="D707" t="s">
        <v>71</v>
      </c>
      <c r="F707" s="6">
        <v>36223</v>
      </c>
      <c r="G707" t="s">
        <v>135</v>
      </c>
      <c r="H707" t="s">
        <v>131</v>
      </c>
    </row>
    <row r="708" spans="1:8" x14ac:dyDescent="0.2">
      <c r="A708" s="5">
        <v>46204</v>
      </c>
      <c r="B708" t="s">
        <v>134</v>
      </c>
      <c r="C708" t="s">
        <v>110</v>
      </c>
      <c r="D708" t="s">
        <v>75</v>
      </c>
      <c r="F708" s="6">
        <v>16653</v>
      </c>
      <c r="G708" t="s">
        <v>135</v>
      </c>
      <c r="H708" t="s">
        <v>131</v>
      </c>
    </row>
    <row r="709" spans="1:8" x14ac:dyDescent="0.2">
      <c r="A709" s="5">
        <v>46204</v>
      </c>
      <c r="B709" t="s">
        <v>134</v>
      </c>
      <c r="C709" t="s">
        <v>110</v>
      </c>
      <c r="D709" t="s">
        <v>76</v>
      </c>
      <c r="F709" s="6">
        <v>10003</v>
      </c>
      <c r="G709" t="s">
        <v>135</v>
      </c>
      <c r="H709" t="s">
        <v>131</v>
      </c>
    </row>
    <row r="710" spans="1:8" x14ac:dyDescent="0.2">
      <c r="A710" s="5">
        <v>46204</v>
      </c>
      <c r="B710" t="s">
        <v>134</v>
      </c>
      <c r="C710" t="s">
        <v>110</v>
      </c>
      <c r="D710" t="s">
        <v>79</v>
      </c>
      <c r="F710" s="6">
        <v>7227</v>
      </c>
      <c r="G710" t="s">
        <v>135</v>
      </c>
      <c r="H710" t="s">
        <v>131</v>
      </c>
    </row>
    <row r="711" spans="1:8" x14ac:dyDescent="0.2">
      <c r="A711" s="5">
        <v>46204</v>
      </c>
      <c r="B711" t="s">
        <v>134</v>
      </c>
      <c r="C711" t="s">
        <v>110</v>
      </c>
      <c r="D711" t="s">
        <v>87</v>
      </c>
      <c r="F711" s="6">
        <v>5458</v>
      </c>
      <c r="G711" t="s">
        <v>135</v>
      </c>
      <c r="H711" t="s">
        <v>131</v>
      </c>
    </row>
    <row r="712" spans="1:8" x14ac:dyDescent="0.2">
      <c r="A712" s="5">
        <v>46204</v>
      </c>
      <c r="B712" t="s">
        <v>134</v>
      </c>
      <c r="C712" t="s">
        <v>110</v>
      </c>
      <c r="D712" t="s">
        <v>89</v>
      </c>
      <c r="F712" s="6">
        <v>29882</v>
      </c>
      <c r="G712" t="s">
        <v>135</v>
      </c>
      <c r="H712" t="s">
        <v>131</v>
      </c>
    </row>
    <row r="713" spans="1:8" x14ac:dyDescent="0.2">
      <c r="A713" s="5">
        <v>46204</v>
      </c>
      <c r="B713" t="s">
        <v>134</v>
      </c>
      <c r="C713" t="s">
        <v>110</v>
      </c>
      <c r="D713" t="s">
        <v>91</v>
      </c>
      <c r="F713" s="6">
        <v>3746</v>
      </c>
      <c r="G713" t="s">
        <v>135</v>
      </c>
      <c r="H713" t="s">
        <v>131</v>
      </c>
    </row>
    <row r="714" spans="1:8" x14ac:dyDescent="0.2">
      <c r="A714" s="5">
        <v>46204</v>
      </c>
      <c r="B714" t="s">
        <v>134</v>
      </c>
      <c r="C714" t="s">
        <v>114</v>
      </c>
      <c r="D714" t="s">
        <v>67</v>
      </c>
      <c r="F714" s="6">
        <v>46408</v>
      </c>
      <c r="G714" t="s">
        <v>135</v>
      </c>
      <c r="H714" t="s">
        <v>131</v>
      </c>
    </row>
    <row r="715" spans="1:8" x14ac:dyDescent="0.2">
      <c r="A715" s="5">
        <v>46204</v>
      </c>
      <c r="B715" t="s">
        <v>134</v>
      </c>
      <c r="C715" t="s">
        <v>114</v>
      </c>
      <c r="D715" t="s">
        <v>71</v>
      </c>
      <c r="F715" s="6">
        <v>10956</v>
      </c>
      <c r="G715" t="s">
        <v>135</v>
      </c>
      <c r="H715" t="s">
        <v>131</v>
      </c>
    </row>
    <row r="716" spans="1:8" x14ac:dyDescent="0.2">
      <c r="A716" s="5">
        <v>46204</v>
      </c>
      <c r="B716" t="s">
        <v>134</v>
      </c>
      <c r="C716" t="s">
        <v>114</v>
      </c>
      <c r="D716" t="s">
        <v>75</v>
      </c>
      <c r="F716" s="6">
        <v>4967</v>
      </c>
      <c r="G716" t="s">
        <v>135</v>
      </c>
      <c r="H716" t="s">
        <v>131</v>
      </c>
    </row>
    <row r="717" spans="1:8" x14ac:dyDescent="0.2">
      <c r="A717" s="5">
        <v>46204</v>
      </c>
      <c r="B717" t="s">
        <v>134</v>
      </c>
      <c r="C717" t="s">
        <v>114</v>
      </c>
      <c r="D717" t="s">
        <v>76</v>
      </c>
      <c r="F717" s="6">
        <v>2865</v>
      </c>
      <c r="G717" t="s">
        <v>135</v>
      </c>
      <c r="H717" t="s">
        <v>131</v>
      </c>
    </row>
    <row r="718" spans="1:8" x14ac:dyDescent="0.2">
      <c r="A718" s="5">
        <v>46204</v>
      </c>
      <c r="B718" t="s">
        <v>134</v>
      </c>
      <c r="C718" t="s">
        <v>114</v>
      </c>
      <c r="D718" t="s">
        <v>79</v>
      </c>
      <c r="F718" s="6">
        <v>1860</v>
      </c>
      <c r="G718" t="s">
        <v>135</v>
      </c>
      <c r="H718" t="s">
        <v>131</v>
      </c>
    </row>
    <row r="719" spans="1:8" x14ac:dyDescent="0.2">
      <c r="A719" s="5">
        <v>46204</v>
      </c>
      <c r="B719" t="s">
        <v>134</v>
      </c>
      <c r="C719" t="s">
        <v>114</v>
      </c>
      <c r="D719" t="s">
        <v>87</v>
      </c>
      <c r="F719" s="6">
        <v>1316</v>
      </c>
      <c r="G719" t="s">
        <v>135</v>
      </c>
      <c r="H719" t="s">
        <v>131</v>
      </c>
    </row>
    <row r="720" spans="1:8" x14ac:dyDescent="0.2">
      <c r="A720" s="5">
        <v>46204</v>
      </c>
      <c r="B720" t="s">
        <v>134</v>
      </c>
      <c r="C720" t="s">
        <v>114</v>
      </c>
      <c r="D720" t="s">
        <v>91</v>
      </c>
      <c r="F720" s="6">
        <v>984</v>
      </c>
      <c r="G720" t="s">
        <v>135</v>
      </c>
      <c r="H720" t="s">
        <v>131</v>
      </c>
    </row>
    <row r="721" spans="1:8" x14ac:dyDescent="0.2">
      <c r="A721" s="5">
        <v>46204</v>
      </c>
      <c r="B721" t="s">
        <v>134</v>
      </c>
      <c r="C721" t="s">
        <v>118</v>
      </c>
      <c r="D721" t="s">
        <v>67</v>
      </c>
      <c r="F721" s="6">
        <v>77493</v>
      </c>
      <c r="G721" t="s">
        <v>135</v>
      </c>
      <c r="H721" t="s">
        <v>131</v>
      </c>
    </row>
    <row r="722" spans="1:8" x14ac:dyDescent="0.2">
      <c r="A722" s="5">
        <v>46204</v>
      </c>
      <c r="B722" t="s">
        <v>134</v>
      </c>
      <c r="C722" t="s">
        <v>118</v>
      </c>
      <c r="D722" t="s">
        <v>71</v>
      </c>
      <c r="F722" s="6">
        <v>16657</v>
      </c>
      <c r="G722" t="s">
        <v>135</v>
      </c>
      <c r="H722" t="s">
        <v>131</v>
      </c>
    </row>
    <row r="723" spans="1:8" x14ac:dyDescent="0.2">
      <c r="A723" s="5">
        <v>46204</v>
      </c>
      <c r="B723" t="s">
        <v>134</v>
      </c>
      <c r="C723" t="s">
        <v>118</v>
      </c>
      <c r="D723" t="s">
        <v>75</v>
      </c>
      <c r="F723" s="6">
        <v>7215</v>
      </c>
      <c r="G723" t="s">
        <v>135</v>
      </c>
      <c r="H723" t="s">
        <v>131</v>
      </c>
    </row>
    <row r="724" spans="1:8" x14ac:dyDescent="0.2">
      <c r="A724" s="5">
        <v>46204</v>
      </c>
      <c r="B724" t="s">
        <v>134</v>
      </c>
      <c r="C724" t="s">
        <v>118</v>
      </c>
      <c r="D724" t="s">
        <v>76</v>
      </c>
      <c r="F724" s="6">
        <v>4547</v>
      </c>
      <c r="G724" t="s">
        <v>135</v>
      </c>
      <c r="H724" t="s">
        <v>131</v>
      </c>
    </row>
    <row r="725" spans="1:8" x14ac:dyDescent="0.2">
      <c r="A725" s="5">
        <v>46204</v>
      </c>
      <c r="B725" t="s">
        <v>134</v>
      </c>
      <c r="C725" t="s">
        <v>118</v>
      </c>
      <c r="D725" t="s">
        <v>79</v>
      </c>
      <c r="F725" s="6">
        <v>3084</v>
      </c>
      <c r="G725" t="s">
        <v>135</v>
      </c>
      <c r="H725" t="s">
        <v>131</v>
      </c>
    </row>
    <row r="726" spans="1:8" x14ac:dyDescent="0.2">
      <c r="A726" s="5">
        <v>46204</v>
      </c>
      <c r="B726" t="s">
        <v>134</v>
      </c>
      <c r="C726" t="s">
        <v>118</v>
      </c>
      <c r="D726" t="s">
        <v>83</v>
      </c>
      <c r="F726" s="6">
        <v>44114</v>
      </c>
      <c r="G726" t="s">
        <v>135</v>
      </c>
      <c r="H726" t="s">
        <v>131</v>
      </c>
    </row>
    <row r="727" spans="1:8" x14ac:dyDescent="0.2">
      <c r="A727" s="5">
        <v>46204</v>
      </c>
      <c r="B727" t="s">
        <v>134</v>
      </c>
      <c r="C727" t="s">
        <v>118</v>
      </c>
      <c r="D727" t="s">
        <v>85</v>
      </c>
      <c r="F727" s="6">
        <v>23447</v>
      </c>
      <c r="G727" t="s">
        <v>135</v>
      </c>
      <c r="H727" t="s">
        <v>131</v>
      </c>
    </row>
    <row r="728" spans="1:8" x14ac:dyDescent="0.2">
      <c r="A728" s="5">
        <v>46204</v>
      </c>
      <c r="B728" t="s">
        <v>134</v>
      </c>
      <c r="C728" t="s">
        <v>118</v>
      </c>
      <c r="D728" t="s">
        <v>87</v>
      </c>
      <c r="F728" s="6">
        <v>2201</v>
      </c>
      <c r="G728" t="s">
        <v>135</v>
      </c>
      <c r="H728" t="s">
        <v>131</v>
      </c>
    </row>
    <row r="729" spans="1:8" x14ac:dyDescent="0.2">
      <c r="A729" s="5">
        <v>46204</v>
      </c>
      <c r="B729" t="s">
        <v>134</v>
      </c>
      <c r="C729" t="s">
        <v>118</v>
      </c>
      <c r="D729" t="s">
        <v>91</v>
      </c>
      <c r="F729" s="6">
        <v>1453</v>
      </c>
      <c r="G729" t="s">
        <v>135</v>
      </c>
      <c r="H729" t="s">
        <v>131</v>
      </c>
    </row>
    <row r="730" spans="1:8" x14ac:dyDescent="0.2">
      <c r="A730" s="5">
        <v>46235</v>
      </c>
      <c r="B730" t="s">
        <v>129</v>
      </c>
      <c r="C730" t="s">
        <v>122</v>
      </c>
      <c r="D730" t="s">
        <v>54</v>
      </c>
      <c r="E730" t="s">
        <v>130</v>
      </c>
      <c r="F730" s="6">
        <v>1980509</v>
      </c>
      <c r="G730" t="s">
        <v>46</v>
      </c>
      <c r="H730" t="s">
        <v>131</v>
      </c>
    </row>
    <row r="731" spans="1:8" x14ac:dyDescent="0.2">
      <c r="A731" s="5">
        <v>46235</v>
      </c>
      <c r="B731" t="s">
        <v>129</v>
      </c>
      <c r="C731" t="s">
        <v>122</v>
      </c>
      <c r="D731" t="s">
        <v>54</v>
      </c>
      <c r="E731" t="s">
        <v>132</v>
      </c>
      <c r="F731" s="6">
        <v>1061792</v>
      </c>
      <c r="G731" t="s">
        <v>46</v>
      </c>
      <c r="H731" t="s">
        <v>131</v>
      </c>
    </row>
    <row r="732" spans="1:8" x14ac:dyDescent="0.2">
      <c r="A732" s="5">
        <v>46235</v>
      </c>
      <c r="B732" t="s">
        <v>129</v>
      </c>
      <c r="C732" t="s">
        <v>122</v>
      </c>
      <c r="D732" t="s">
        <v>58</v>
      </c>
      <c r="E732" t="s">
        <v>133</v>
      </c>
      <c r="F732" s="6">
        <v>304265</v>
      </c>
      <c r="G732" t="s">
        <v>46</v>
      </c>
      <c r="H732" t="s">
        <v>131</v>
      </c>
    </row>
    <row r="733" spans="1:8" x14ac:dyDescent="0.2">
      <c r="A733" s="5">
        <v>46235</v>
      </c>
      <c r="B733" t="s">
        <v>129</v>
      </c>
      <c r="C733" t="s">
        <v>97</v>
      </c>
      <c r="D733" t="s">
        <v>67</v>
      </c>
      <c r="F733" s="6">
        <v>338890</v>
      </c>
      <c r="G733" t="s">
        <v>46</v>
      </c>
      <c r="H733" t="s">
        <v>131</v>
      </c>
    </row>
    <row r="734" spans="1:8" x14ac:dyDescent="0.2">
      <c r="A734" s="5">
        <v>46235</v>
      </c>
      <c r="B734" t="s">
        <v>129</v>
      </c>
      <c r="C734" t="s">
        <v>97</v>
      </c>
      <c r="D734" t="s">
        <v>71</v>
      </c>
      <c r="F734" s="6">
        <v>75412</v>
      </c>
      <c r="G734" t="s">
        <v>46</v>
      </c>
      <c r="H734" t="s">
        <v>131</v>
      </c>
    </row>
    <row r="735" spans="1:8" x14ac:dyDescent="0.2">
      <c r="A735" s="5">
        <v>46235</v>
      </c>
      <c r="B735" t="s">
        <v>129</v>
      </c>
      <c r="C735" t="s">
        <v>97</v>
      </c>
      <c r="D735" t="s">
        <v>73</v>
      </c>
      <c r="F735" s="6">
        <v>127719</v>
      </c>
      <c r="G735" t="s">
        <v>46</v>
      </c>
      <c r="H735" t="s">
        <v>131</v>
      </c>
    </row>
    <row r="736" spans="1:8" x14ac:dyDescent="0.2">
      <c r="A736" s="5">
        <v>46235</v>
      </c>
      <c r="B736" t="s">
        <v>129</v>
      </c>
      <c r="C736" t="s">
        <v>97</v>
      </c>
      <c r="D736" t="s">
        <v>75</v>
      </c>
      <c r="F736" s="6">
        <v>36610</v>
      </c>
      <c r="G736" t="s">
        <v>46</v>
      </c>
      <c r="H736" t="s">
        <v>131</v>
      </c>
    </row>
    <row r="737" spans="1:8" x14ac:dyDescent="0.2">
      <c r="A737" s="5">
        <v>46235</v>
      </c>
      <c r="B737" t="s">
        <v>129</v>
      </c>
      <c r="C737" t="s">
        <v>97</v>
      </c>
      <c r="D737" t="s">
        <v>76</v>
      </c>
      <c r="F737" s="6">
        <v>19203</v>
      </c>
      <c r="G737" t="s">
        <v>46</v>
      </c>
      <c r="H737" t="s">
        <v>131</v>
      </c>
    </row>
    <row r="738" spans="1:8" x14ac:dyDescent="0.2">
      <c r="A738" s="5">
        <v>46235</v>
      </c>
      <c r="B738" t="s">
        <v>129</v>
      </c>
      <c r="C738" t="s">
        <v>97</v>
      </c>
      <c r="D738" t="s">
        <v>79</v>
      </c>
      <c r="F738" s="6">
        <v>27167</v>
      </c>
      <c r="G738" t="s">
        <v>46</v>
      </c>
      <c r="H738" t="s">
        <v>131</v>
      </c>
    </row>
    <row r="739" spans="1:8" x14ac:dyDescent="0.2">
      <c r="A739" s="5">
        <v>46235</v>
      </c>
      <c r="B739" t="s">
        <v>129</v>
      </c>
      <c r="C739" t="s">
        <v>97</v>
      </c>
      <c r="D739" t="s">
        <v>87</v>
      </c>
      <c r="F739" s="6">
        <v>10369</v>
      </c>
      <c r="G739" t="s">
        <v>46</v>
      </c>
      <c r="H739" t="s">
        <v>131</v>
      </c>
    </row>
    <row r="740" spans="1:8" x14ac:dyDescent="0.2">
      <c r="A740" s="5">
        <v>46235</v>
      </c>
      <c r="B740" t="s">
        <v>129</v>
      </c>
      <c r="C740" t="s">
        <v>97</v>
      </c>
      <c r="D740" t="s">
        <v>91</v>
      </c>
      <c r="F740" s="6">
        <v>6986</v>
      </c>
      <c r="G740" t="s">
        <v>46</v>
      </c>
      <c r="H740" t="s">
        <v>131</v>
      </c>
    </row>
    <row r="741" spans="1:8" x14ac:dyDescent="0.2">
      <c r="A741" s="5">
        <v>46235</v>
      </c>
      <c r="B741" t="s">
        <v>129</v>
      </c>
      <c r="C741" t="s">
        <v>102</v>
      </c>
      <c r="D741" t="s">
        <v>67</v>
      </c>
      <c r="F741" s="6">
        <v>158284</v>
      </c>
      <c r="G741" t="s">
        <v>46</v>
      </c>
      <c r="H741" t="s">
        <v>131</v>
      </c>
    </row>
    <row r="742" spans="1:8" x14ac:dyDescent="0.2">
      <c r="A742" s="5">
        <v>46235</v>
      </c>
      <c r="B742" t="s">
        <v>129</v>
      </c>
      <c r="C742" t="s">
        <v>102</v>
      </c>
      <c r="D742" t="s">
        <v>71</v>
      </c>
      <c r="F742" s="6">
        <v>35250</v>
      </c>
      <c r="G742" t="s">
        <v>46</v>
      </c>
      <c r="H742" t="s">
        <v>131</v>
      </c>
    </row>
    <row r="743" spans="1:8" x14ac:dyDescent="0.2">
      <c r="A743" s="5">
        <v>46235</v>
      </c>
      <c r="B743" t="s">
        <v>129</v>
      </c>
      <c r="C743" t="s">
        <v>102</v>
      </c>
      <c r="D743" t="s">
        <v>75</v>
      </c>
      <c r="F743" s="6">
        <v>15897</v>
      </c>
      <c r="G743" t="s">
        <v>46</v>
      </c>
      <c r="H743" t="s">
        <v>131</v>
      </c>
    </row>
    <row r="744" spans="1:8" x14ac:dyDescent="0.2">
      <c r="A744" s="5">
        <v>46235</v>
      </c>
      <c r="B744" t="s">
        <v>129</v>
      </c>
      <c r="C744" t="s">
        <v>102</v>
      </c>
      <c r="D744" t="s">
        <v>76</v>
      </c>
      <c r="F744" s="6">
        <v>9043</v>
      </c>
      <c r="G744" t="s">
        <v>46</v>
      </c>
      <c r="H744" t="s">
        <v>131</v>
      </c>
    </row>
    <row r="745" spans="1:8" x14ac:dyDescent="0.2">
      <c r="A745" s="5">
        <v>46235</v>
      </c>
      <c r="B745" t="s">
        <v>129</v>
      </c>
      <c r="C745" t="s">
        <v>102</v>
      </c>
      <c r="D745" t="s">
        <v>79</v>
      </c>
      <c r="F745" s="6">
        <v>12830</v>
      </c>
      <c r="G745" t="s">
        <v>46</v>
      </c>
      <c r="H745" t="s">
        <v>131</v>
      </c>
    </row>
    <row r="746" spans="1:8" x14ac:dyDescent="0.2">
      <c r="A746" s="5">
        <v>46235</v>
      </c>
      <c r="B746" t="s">
        <v>129</v>
      </c>
      <c r="C746" t="s">
        <v>102</v>
      </c>
      <c r="D746" t="s">
        <v>81</v>
      </c>
      <c r="F746" s="6">
        <v>214903</v>
      </c>
      <c r="G746" t="s">
        <v>46</v>
      </c>
      <c r="H746" t="s">
        <v>131</v>
      </c>
    </row>
    <row r="747" spans="1:8" x14ac:dyDescent="0.2">
      <c r="A747" s="5">
        <v>46235</v>
      </c>
      <c r="B747" t="s">
        <v>129</v>
      </c>
      <c r="C747" t="s">
        <v>102</v>
      </c>
      <c r="D747" t="s">
        <v>87</v>
      </c>
      <c r="F747" s="6">
        <v>4860</v>
      </c>
      <c r="G747" t="s">
        <v>46</v>
      </c>
      <c r="H747" t="s">
        <v>131</v>
      </c>
    </row>
    <row r="748" spans="1:8" x14ac:dyDescent="0.2">
      <c r="A748" s="5">
        <v>46235</v>
      </c>
      <c r="B748" t="s">
        <v>129</v>
      </c>
      <c r="C748" t="s">
        <v>102</v>
      </c>
      <c r="D748" t="s">
        <v>91</v>
      </c>
      <c r="F748" s="6">
        <v>3334</v>
      </c>
      <c r="G748" t="s">
        <v>46</v>
      </c>
      <c r="H748" t="s">
        <v>131</v>
      </c>
    </row>
    <row r="749" spans="1:8" x14ac:dyDescent="0.2">
      <c r="A749" s="5">
        <v>46235</v>
      </c>
      <c r="B749" t="s">
        <v>129</v>
      </c>
      <c r="C749" t="s">
        <v>106</v>
      </c>
      <c r="D749" t="s">
        <v>65</v>
      </c>
      <c r="F749" s="6">
        <v>73270</v>
      </c>
      <c r="G749" t="s">
        <v>46</v>
      </c>
      <c r="H749" t="s">
        <v>131</v>
      </c>
    </row>
    <row r="750" spans="1:8" x14ac:dyDescent="0.2">
      <c r="A750" s="5">
        <v>46235</v>
      </c>
      <c r="B750" t="s">
        <v>129</v>
      </c>
      <c r="C750" t="s">
        <v>106</v>
      </c>
      <c r="D750" t="s">
        <v>67</v>
      </c>
      <c r="F750" s="6">
        <v>181217</v>
      </c>
      <c r="G750" t="s">
        <v>46</v>
      </c>
      <c r="H750" t="s">
        <v>131</v>
      </c>
    </row>
    <row r="751" spans="1:8" x14ac:dyDescent="0.2">
      <c r="A751" s="5">
        <v>46235</v>
      </c>
      <c r="B751" t="s">
        <v>129</v>
      </c>
      <c r="C751" t="s">
        <v>106</v>
      </c>
      <c r="D751" t="s">
        <v>71</v>
      </c>
      <c r="F751" s="6">
        <v>38925</v>
      </c>
      <c r="G751" t="s">
        <v>46</v>
      </c>
      <c r="H751" t="s">
        <v>131</v>
      </c>
    </row>
    <row r="752" spans="1:8" x14ac:dyDescent="0.2">
      <c r="A752" s="5">
        <v>46235</v>
      </c>
      <c r="B752" t="s">
        <v>129</v>
      </c>
      <c r="C752" t="s">
        <v>106</v>
      </c>
      <c r="D752" t="s">
        <v>75</v>
      </c>
      <c r="F752" s="6">
        <v>17688</v>
      </c>
      <c r="G752" t="s">
        <v>46</v>
      </c>
      <c r="H752" t="s">
        <v>131</v>
      </c>
    </row>
    <row r="753" spans="1:8" x14ac:dyDescent="0.2">
      <c r="A753" s="5">
        <v>46235</v>
      </c>
      <c r="B753" t="s">
        <v>129</v>
      </c>
      <c r="C753" t="s">
        <v>106</v>
      </c>
      <c r="D753" t="s">
        <v>76</v>
      </c>
      <c r="F753" s="6">
        <v>10979</v>
      </c>
      <c r="G753" t="s">
        <v>46</v>
      </c>
      <c r="H753" t="s">
        <v>131</v>
      </c>
    </row>
    <row r="754" spans="1:8" x14ac:dyDescent="0.2">
      <c r="A754" s="5">
        <v>46235</v>
      </c>
      <c r="B754" t="s">
        <v>129</v>
      </c>
      <c r="C754" t="s">
        <v>106</v>
      </c>
      <c r="D754" t="s">
        <v>79</v>
      </c>
      <c r="F754" s="6">
        <v>6962</v>
      </c>
      <c r="G754" t="s">
        <v>46</v>
      </c>
      <c r="H754" t="s">
        <v>131</v>
      </c>
    </row>
    <row r="755" spans="1:8" x14ac:dyDescent="0.2">
      <c r="A755" s="5">
        <v>46235</v>
      </c>
      <c r="B755" t="s">
        <v>129</v>
      </c>
      <c r="C755" t="s">
        <v>106</v>
      </c>
      <c r="D755" t="s">
        <v>87</v>
      </c>
      <c r="F755" s="6">
        <v>5736</v>
      </c>
      <c r="G755" t="s">
        <v>46</v>
      </c>
      <c r="H755" t="s">
        <v>131</v>
      </c>
    </row>
    <row r="756" spans="1:8" x14ac:dyDescent="0.2">
      <c r="A756" s="5">
        <v>46235</v>
      </c>
      <c r="B756" t="s">
        <v>129</v>
      </c>
      <c r="C756" t="s">
        <v>106</v>
      </c>
      <c r="D756" t="s">
        <v>91</v>
      </c>
      <c r="F756" s="6">
        <v>3607</v>
      </c>
      <c r="G756" t="s">
        <v>46</v>
      </c>
      <c r="H756" t="s">
        <v>131</v>
      </c>
    </row>
    <row r="757" spans="1:8" x14ac:dyDescent="0.2">
      <c r="A757" s="5">
        <v>46235</v>
      </c>
      <c r="B757" t="s">
        <v>129</v>
      </c>
      <c r="C757" t="s">
        <v>110</v>
      </c>
      <c r="D757" t="s">
        <v>61</v>
      </c>
      <c r="F757" s="6">
        <v>576080</v>
      </c>
      <c r="G757" t="s">
        <v>46</v>
      </c>
      <c r="H757" t="s">
        <v>131</v>
      </c>
    </row>
    <row r="758" spans="1:8" x14ac:dyDescent="0.2">
      <c r="A758" s="5">
        <v>46235</v>
      </c>
      <c r="B758" t="s">
        <v>129</v>
      </c>
      <c r="C758" t="s">
        <v>110</v>
      </c>
      <c r="D758" t="s">
        <v>67</v>
      </c>
      <c r="F758" s="6">
        <v>505557</v>
      </c>
      <c r="G758" t="s">
        <v>46</v>
      </c>
      <c r="H758" t="s">
        <v>131</v>
      </c>
    </row>
    <row r="759" spans="1:8" x14ac:dyDescent="0.2">
      <c r="A759" s="5">
        <v>46235</v>
      </c>
      <c r="B759" t="s">
        <v>129</v>
      </c>
      <c r="C759" t="s">
        <v>110</v>
      </c>
      <c r="D759" t="s">
        <v>71</v>
      </c>
      <c r="F759" s="6">
        <v>111896</v>
      </c>
      <c r="G759" t="s">
        <v>46</v>
      </c>
      <c r="H759" t="s">
        <v>131</v>
      </c>
    </row>
    <row r="760" spans="1:8" x14ac:dyDescent="0.2">
      <c r="A760" s="5">
        <v>46235</v>
      </c>
      <c r="B760" t="s">
        <v>129</v>
      </c>
      <c r="C760" t="s">
        <v>110</v>
      </c>
      <c r="D760" t="s">
        <v>75</v>
      </c>
      <c r="F760" s="6">
        <v>50906</v>
      </c>
      <c r="G760" t="s">
        <v>46</v>
      </c>
      <c r="H760" t="s">
        <v>131</v>
      </c>
    </row>
    <row r="761" spans="1:8" x14ac:dyDescent="0.2">
      <c r="A761" s="5">
        <v>46235</v>
      </c>
      <c r="B761" t="s">
        <v>129</v>
      </c>
      <c r="C761" t="s">
        <v>110</v>
      </c>
      <c r="D761" t="s">
        <v>76</v>
      </c>
      <c r="F761" s="6">
        <v>32903</v>
      </c>
      <c r="G761" t="s">
        <v>46</v>
      </c>
      <c r="H761" t="s">
        <v>131</v>
      </c>
    </row>
    <row r="762" spans="1:8" x14ac:dyDescent="0.2">
      <c r="A762" s="5">
        <v>46235</v>
      </c>
      <c r="B762" t="s">
        <v>129</v>
      </c>
      <c r="C762" t="s">
        <v>110</v>
      </c>
      <c r="D762" t="s">
        <v>79</v>
      </c>
      <c r="F762" s="6">
        <v>21829</v>
      </c>
      <c r="G762" t="s">
        <v>46</v>
      </c>
      <c r="H762" t="s">
        <v>131</v>
      </c>
    </row>
    <row r="763" spans="1:8" x14ac:dyDescent="0.2">
      <c r="A763" s="5">
        <v>46235</v>
      </c>
      <c r="B763" t="s">
        <v>129</v>
      </c>
      <c r="C763" t="s">
        <v>110</v>
      </c>
      <c r="D763" t="s">
        <v>87</v>
      </c>
      <c r="F763" s="6">
        <v>16755</v>
      </c>
      <c r="G763" t="s">
        <v>46</v>
      </c>
      <c r="H763" t="s">
        <v>131</v>
      </c>
    </row>
    <row r="764" spans="1:8" x14ac:dyDescent="0.2">
      <c r="A764" s="5">
        <v>46235</v>
      </c>
      <c r="B764" t="s">
        <v>129</v>
      </c>
      <c r="C764" t="s">
        <v>110</v>
      </c>
      <c r="D764" t="s">
        <v>89</v>
      </c>
      <c r="F764" s="6">
        <v>92751</v>
      </c>
      <c r="G764" t="s">
        <v>46</v>
      </c>
      <c r="H764" t="s">
        <v>131</v>
      </c>
    </row>
    <row r="765" spans="1:8" x14ac:dyDescent="0.2">
      <c r="A765" s="5">
        <v>46235</v>
      </c>
      <c r="B765" t="s">
        <v>129</v>
      </c>
      <c r="C765" t="s">
        <v>110</v>
      </c>
      <c r="D765" t="s">
        <v>91</v>
      </c>
      <c r="F765" s="6">
        <v>11223</v>
      </c>
      <c r="G765" t="s">
        <v>46</v>
      </c>
      <c r="H765" t="s">
        <v>131</v>
      </c>
    </row>
    <row r="766" spans="1:8" x14ac:dyDescent="0.2">
      <c r="A766" s="5">
        <v>46235</v>
      </c>
      <c r="B766" t="s">
        <v>129</v>
      </c>
      <c r="C766" t="s">
        <v>114</v>
      </c>
      <c r="D766" t="s">
        <v>67</v>
      </c>
      <c r="F766" s="6">
        <v>154869</v>
      </c>
      <c r="G766" t="s">
        <v>46</v>
      </c>
      <c r="H766" t="s">
        <v>131</v>
      </c>
    </row>
    <row r="767" spans="1:8" x14ac:dyDescent="0.2">
      <c r="A767" s="5">
        <v>46235</v>
      </c>
      <c r="B767" t="s">
        <v>129</v>
      </c>
      <c r="C767" t="s">
        <v>114</v>
      </c>
      <c r="D767" t="s">
        <v>71</v>
      </c>
      <c r="F767" s="6">
        <v>35726</v>
      </c>
      <c r="G767" t="s">
        <v>46</v>
      </c>
      <c r="H767" t="s">
        <v>131</v>
      </c>
    </row>
    <row r="768" spans="1:8" x14ac:dyDescent="0.2">
      <c r="A768" s="5">
        <v>46235</v>
      </c>
      <c r="B768" t="s">
        <v>129</v>
      </c>
      <c r="C768" t="s">
        <v>114</v>
      </c>
      <c r="D768" t="s">
        <v>75</v>
      </c>
      <c r="F768" s="6">
        <v>14049</v>
      </c>
      <c r="G768" t="s">
        <v>46</v>
      </c>
      <c r="H768" t="s">
        <v>131</v>
      </c>
    </row>
    <row r="769" spans="1:8" x14ac:dyDescent="0.2">
      <c r="A769" s="5">
        <v>46235</v>
      </c>
      <c r="B769" t="s">
        <v>129</v>
      </c>
      <c r="C769" t="s">
        <v>114</v>
      </c>
      <c r="D769" t="s">
        <v>76</v>
      </c>
      <c r="F769" s="6">
        <v>8947</v>
      </c>
      <c r="G769" t="s">
        <v>46</v>
      </c>
      <c r="H769" t="s">
        <v>131</v>
      </c>
    </row>
    <row r="770" spans="1:8" x14ac:dyDescent="0.2">
      <c r="A770" s="5">
        <v>46235</v>
      </c>
      <c r="B770" t="s">
        <v>129</v>
      </c>
      <c r="C770" t="s">
        <v>114</v>
      </c>
      <c r="D770" t="s">
        <v>79</v>
      </c>
      <c r="F770" s="6">
        <v>6184</v>
      </c>
      <c r="G770" t="s">
        <v>46</v>
      </c>
      <c r="H770" t="s">
        <v>131</v>
      </c>
    </row>
    <row r="771" spans="1:8" x14ac:dyDescent="0.2">
      <c r="A771" s="5">
        <v>46235</v>
      </c>
      <c r="B771" t="s">
        <v>129</v>
      </c>
      <c r="C771" t="s">
        <v>114</v>
      </c>
      <c r="D771" t="s">
        <v>87</v>
      </c>
      <c r="F771" s="6">
        <v>4383</v>
      </c>
      <c r="G771" t="s">
        <v>46</v>
      </c>
      <c r="H771" t="s">
        <v>131</v>
      </c>
    </row>
    <row r="772" spans="1:8" x14ac:dyDescent="0.2">
      <c r="A772" s="5">
        <v>46235</v>
      </c>
      <c r="B772" t="s">
        <v>129</v>
      </c>
      <c r="C772" t="s">
        <v>114</v>
      </c>
      <c r="D772" t="s">
        <v>91</v>
      </c>
      <c r="F772" s="6">
        <v>2820</v>
      </c>
      <c r="G772" t="s">
        <v>46</v>
      </c>
      <c r="H772" t="s">
        <v>131</v>
      </c>
    </row>
    <row r="773" spans="1:8" x14ac:dyDescent="0.2">
      <c r="A773" s="5">
        <v>46235</v>
      </c>
      <c r="B773" t="s">
        <v>129</v>
      </c>
      <c r="C773" t="s">
        <v>118</v>
      </c>
      <c r="D773" t="s">
        <v>67</v>
      </c>
      <c r="F773" s="6">
        <v>217311</v>
      </c>
      <c r="G773" t="s">
        <v>46</v>
      </c>
      <c r="H773" t="s">
        <v>131</v>
      </c>
    </row>
    <row r="774" spans="1:8" x14ac:dyDescent="0.2">
      <c r="A774" s="5">
        <v>46235</v>
      </c>
      <c r="B774" t="s">
        <v>129</v>
      </c>
      <c r="C774" t="s">
        <v>118</v>
      </c>
      <c r="D774" t="s">
        <v>71</v>
      </c>
      <c r="F774" s="6">
        <v>48100</v>
      </c>
      <c r="G774" t="s">
        <v>46</v>
      </c>
      <c r="H774" t="s">
        <v>131</v>
      </c>
    </row>
    <row r="775" spans="1:8" x14ac:dyDescent="0.2">
      <c r="A775" s="5">
        <v>46235</v>
      </c>
      <c r="B775" t="s">
        <v>129</v>
      </c>
      <c r="C775" t="s">
        <v>118</v>
      </c>
      <c r="D775" t="s">
        <v>75</v>
      </c>
      <c r="F775" s="6">
        <v>25391</v>
      </c>
      <c r="G775" t="s">
        <v>46</v>
      </c>
      <c r="H775" t="s">
        <v>131</v>
      </c>
    </row>
    <row r="776" spans="1:8" x14ac:dyDescent="0.2">
      <c r="A776" s="5">
        <v>46235</v>
      </c>
      <c r="B776" t="s">
        <v>129</v>
      </c>
      <c r="C776" t="s">
        <v>118</v>
      </c>
      <c r="D776" t="s">
        <v>76</v>
      </c>
      <c r="F776" s="6">
        <v>12813</v>
      </c>
      <c r="G776" t="s">
        <v>46</v>
      </c>
      <c r="H776" t="s">
        <v>131</v>
      </c>
    </row>
    <row r="777" spans="1:8" x14ac:dyDescent="0.2">
      <c r="A777" s="5">
        <v>46235</v>
      </c>
      <c r="B777" t="s">
        <v>129</v>
      </c>
      <c r="C777" t="s">
        <v>118</v>
      </c>
      <c r="D777" t="s">
        <v>79</v>
      </c>
      <c r="F777" s="6">
        <v>9412</v>
      </c>
      <c r="G777" t="s">
        <v>46</v>
      </c>
      <c r="H777" t="s">
        <v>131</v>
      </c>
    </row>
    <row r="778" spans="1:8" x14ac:dyDescent="0.2">
      <c r="A778" s="5">
        <v>46235</v>
      </c>
      <c r="B778" t="s">
        <v>129</v>
      </c>
      <c r="C778" t="s">
        <v>118</v>
      </c>
      <c r="D778" t="s">
        <v>83</v>
      </c>
      <c r="F778" s="6">
        <v>138135</v>
      </c>
      <c r="G778" t="s">
        <v>46</v>
      </c>
      <c r="H778" t="s">
        <v>131</v>
      </c>
    </row>
    <row r="779" spans="1:8" x14ac:dyDescent="0.2">
      <c r="A779" s="5">
        <v>46235</v>
      </c>
      <c r="B779" t="s">
        <v>129</v>
      </c>
      <c r="C779" t="s">
        <v>118</v>
      </c>
      <c r="D779" t="s">
        <v>85</v>
      </c>
      <c r="F779" s="6">
        <v>80865</v>
      </c>
      <c r="G779" t="s">
        <v>46</v>
      </c>
      <c r="H779" t="s">
        <v>131</v>
      </c>
    </row>
    <row r="780" spans="1:8" x14ac:dyDescent="0.2">
      <c r="A780" s="5">
        <v>46235</v>
      </c>
      <c r="B780" t="s">
        <v>129</v>
      </c>
      <c r="C780" t="s">
        <v>118</v>
      </c>
      <c r="D780" t="s">
        <v>87</v>
      </c>
      <c r="F780" s="6">
        <v>6765</v>
      </c>
      <c r="G780" t="s">
        <v>46</v>
      </c>
      <c r="H780" t="s">
        <v>131</v>
      </c>
    </row>
    <row r="781" spans="1:8" x14ac:dyDescent="0.2">
      <c r="A781" s="5">
        <v>46235</v>
      </c>
      <c r="B781" t="s">
        <v>129</v>
      </c>
      <c r="C781" t="s">
        <v>118</v>
      </c>
      <c r="D781" t="s">
        <v>91</v>
      </c>
      <c r="F781" s="6">
        <v>4787</v>
      </c>
      <c r="G781" t="s">
        <v>46</v>
      </c>
      <c r="H781" t="s">
        <v>131</v>
      </c>
    </row>
    <row r="782" spans="1:8" x14ac:dyDescent="0.2">
      <c r="A782" s="5">
        <v>46235</v>
      </c>
      <c r="B782" t="s">
        <v>134</v>
      </c>
      <c r="C782" t="s">
        <v>122</v>
      </c>
      <c r="D782" t="s">
        <v>54</v>
      </c>
      <c r="E782" t="s">
        <v>130</v>
      </c>
      <c r="F782" s="6">
        <v>644022</v>
      </c>
      <c r="G782" t="s">
        <v>135</v>
      </c>
      <c r="H782" t="s">
        <v>131</v>
      </c>
    </row>
    <row r="783" spans="1:8" x14ac:dyDescent="0.2">
      <c r="A783" s="5">
        <v>46235</v>
      </c>
      <c r="B783" t="s">
        <v>134</v>
      </c>
      <c r="C783" t="s">
        <v>122</v>
      </c>
      <c r="D783" t="s">
        <v>54</v>
      </c>
      <c r="E783" t="s">
        <v>132</v>
      </c>
      <c r="F783" s="6">
        <v>347070</v>
      </c>
      <c r="G783" t="s">
        <v>135</v>
      </c>
      <c r="H783" t="s">
        <v>131</v>
      </c>
    </row>
    <row r="784" spans="1:8" x14ac:dyDescent="0.2">
      <c r="A784" s="5">
        <v>46235</v>
      </c>
      <c r="B784" t="s">
        <v>134</v>
      </c>
      <c r="C784" t="s">
        <v>122</v>
      </c>
      <c r="D784" t="s">
        <v>58</v>
      </c>
      <c r="E784" t="s">
        <v>133</v>
      </c>
      <c r="F784" s="6">
        <v>103151</v>
      </c>
      <c r="G784" t="s">
        <v>135</v>
      </c>
      <c r="H784" t="s">
        <v>131</v>
      </c>
    </row>
    <row r="785" spans="1:8" x14ac:dyDescent="0.2">
      <c r="A785" s="5">
        <v>46235</v>
      </c>
      <c r="B785" t="s">
        <v>134</v>
      </c>
      <c r="C785" t="s">
        <v>97</v>
      </c>
      <c r="D785" t="s">
        <v>67</v>
      </c>
      <c r="F785" s="6">
        <v>118457</v>
      </c>
      <c r="G785" t="s">
        <v>135</v>
      </c>
      <c r="H785" t="s">
        <v>131</v>
      </c>
    </row>
    <row r="786" spans="1:8" x14ac:dyDescent="0.2">
      <c r="A786" s="5">
        <v>46235</v>
      </c>
      <c r="B786" t="s">
        <v>134</v>
      </c>
      <c r="C786" t="s">
        <v>97</v>
      </c>
      <c r="D786" t="s">
        <v>71</v>
      </c>
      <c r="F786" s="6">
        <v>24083</v>
      </c>
      <c r="G786" t="s">
        <v>135</v>
      </c>
      <c r="H786" t="s">
        <v>131</v>
      </c>
    </row>
    <row r="787" spans="1:8" x14ac:dyDescent="0.2">
      <c r="A787" s="5">
        <v>46235</v>
      </c>
      <c r="B787" t="s">
        <v>134</v>
      </c>
      <c r="C787" t="s">
        <v>97</v>
      </c>
      <c r="D787" t="s">
        <v>73</v>
      </c>
      <c r="F787" s="6">
        <v>39795</v>
      </c>
      <c r="G787" t="s">
        <v>135</v>
      </c>
      <c r="H787" t="s">
        <v>131</v>
      </c>
    </row>
    <row r="788" spans="1:8" x14ac:dyDescent="0.2">
      <c r="A788" s="5">
        <v>46235</v>
      </c>
      <c r="B788" t="s">
        <v>134</v>
      </c>
      <c r="C788" t="s">
        <v>97</v>
      </c>
      <c r="D788" t="s">
        <v>75</v>
      </c>
      <c r="F788" s="6">
        <v>12335</v>
      </c>
      <c r="G788" t="s">
        <v>135</v>
      </c>
      <c r="H788" t="s">
        <v>131</v>
      </c>
    </row>
    <row r="789" spans="1:8" x14ac:dyDescent="0.2">
      <c r="A789" s="5">
        <v>46235</v>
      </c>
      <c r="B789" t="s">
        <v>134</v>
      </c>
      <c r="C789" t="s">
        <v>97</v>
      </c>
      <c r="D789" t="s">
        <v>76</v>
      </c>
      <c r="F789" s="6">
        <v>6682</v>
      </c>
      <c r="G789" t="s">
        <v>135</v>
      </c>
      <c r="H789" t="s">
        <v>131</v>
      </c>
    </row>
    <row r="790" spans="1:8" x14ac:dyDescent="0.2">
      <c r="A790" s="5">
        <v>46235</v>
      </c>
      <c r="B790" t="s">
        <v>134</v>
      </c>
      <c r="C790" t="s">
        <v>97</v>
      </c>
      <c r="D790" t="s">
        <v>79</v>
      </c>
      <c r="F790" s="6">
        <v>9035</v>
      </c>
      <c r="G790" t="s">
        <v>135</v>
      </c>
      <c r="H790" t="s">
        <v>131</v>
      </c>
    </row>
    <row r="791" spans="1:8" x14ac:dyDescent="0.2">
      <c r="A791" s="5">
        <v>46235</v>
      </c>
      <c r="B791" t="s">
        <v>134</v>
      </c>
      <c r="C791" t="s">
        <v>97</v>
      </c>
      <c r="D791" t="s">
        <v>87</v>
      </c>
      <c r="F791" s="6">
        <v>3608</v>
      </c>
      <c r="G791" t="s">
        <v>135</v>
      </c>
      <c r="H791" t="s">
        <v>131</v>
      </c>
    </row>
    <row r="792" spans="1:8" x14ac:dyDescent="0.2">
      <c r="A792" s="5">
        <v>46235</v>
      </c>
      <c r="B792" t="s">
        <v>134</v>
      </c>
      <c r="C792" t="s">
        <v>97</v>
      </c>
      <c r="D792" t="s">
        <v>91</v>
      </c>
      <c r="F792" s="6">
        <v>2259</v>
      </c>
      <c r="G792" t="s">
        <v>135</v>
      </c>
      <c r="H792" t="s">
        <v>131</v>
      </c>
    </row>
    <row r="793" spans="1:8" x14ac:dyDescent="0.2">
      <c r="A793" s="5">
        <v>46235</v>
      </c>
      <c r="B793" t="s">
        <v>134</v>
      </c>
      <c r="C793" t="s">
        <v>102</v>
      </c>
      <c r="D793" t="s">
        <v>67</v>
      </c>
      <c r="F793" s="6">
        <v>53169</v>
      </c>
      <c r="G793" t="s">
        <v>135</v>
      </c>
      <c r="H793" t="s">
        <v>131</v>
      </c>
    </row>
    <row r="794" spans="1:8" x14ac:dyDescent="0.2">
      <c r="A794" s="5">
        <v>46235</v>
      </c>
      <c r="B794" t="s">
        <v>134</v>
      </c>
      <c r="C794" t="s">
        <v>102</v>
      </c>
      <c r="D794" t="s">
        <v>71</v>
      </c>
      <c r="F794" s="6">
        <v>11454</v>
      </c>
      <c r="G794" t="s">
        <v>135</v>
      </c>
      <c r="H794" t="s">
        <v>131</v>
      </c>
    </row>
    <row r="795" spans="1:8" x14ac:dyDescent="0.2">
      <c r="A795" s="5">
        <v>46235</v>
      </c>
      <c r="B795" t="s">
        <v>134</v>
      </c>
      <c r="C795" t="s">
        <v>102</v>
      </c>
      <c r="D795" t="s">
        <v>75</v>
      </c>
      <c r="F795" s="6">
        <v>5142</v>
      </c>
      <c r="G795" t="s">
        <v>135</v>
      </c>
      <c r="H795" t="s">
        <v>131</v>
      </c>
    </row>
    <row r="796" spans="1:8" x14ac:dyDescent="0.2">
      <c r="A796" s="5">
        <v>46235</v>
      </c>
      <c r="B796" t="s">
        <v>134</v>
      </c>
      <c r="C796" t="s">
        <v>102</v>
      </c>
      <c r="D796" t="s">
        <v>76</v>
      </c>
      <c r="F796" s="6">
        <v>3334</v>
      </c>
      <c r="G796" t="s">
        <v>135</v>
      </c>
      <c r="H796" t="s">
        <v>131</v>
      </c>
    </row>
    <row r="797" spans="1:8" x14ac:dyDescent="0.2">
      <c r="A797" s="5">
        <v>46235</v>
      </c>
      <c r="B797" t="s">
        <v>134</v>
      </c>
      <c r="C797" t="s">
        <v>102</v>
      </c>
      <c r="D797" t="s">
        <v>79</v>
      </c>
      <c r="F797" s="6">
        <v>3880</v>
      </c>
      <c r="G797" t="s">
        <v>135</v>
      </c>
      <c r="H797" t="s">
        <v>131</v>
      </c>
    </row>
    <row r="798" spans="1:8" x14ac:dyDescent="0.2">
      <c r="A798" s="5">
        <v>46235</v>
      </c>
      <c r="B798" t="s">
        <v>134</v>
      </c>
      <c r="C798" t="s">
        <v>102</v>
      </c>
      <c r="D798" t="s">
        <v>81</v>
      </c>
      <c r="F798" s="6">
        <v>71676</v>
      </c>
      <c r="G798" t="s">
        <v>135</v>
      </c>
      <c r="H798" t="s">
        <v>131</v>
      </c>
    </row>
    <row r="799" spans="1:8" x14ac:dyDescent="0.2">
      <c r="A799" s="5">
        <v>46235</v>
      </c>
      <c r="B799" t="s">
        <v>134</v>
      </c>
      <c r="C799" t="s">
        <v>102</v>
      </c>
      <c r="D799" t="s">
        <v>87</v>
      </c>
      <c r="F799" s="6">
        <v>1523</v>
      </c>
      <c r="G799" t="s">
        <v>135</v>
      </c>
      <c r="H799" t="s">
        <v>131</v>
      </c>
    </row>
    <row r="800" spans="1:8" x14ac:dyDescent="0.2">
      <c r="A800" s="5">
        <v>46235</v>
      </c>
      <c r="B800" t="s">
        <v>134</v>
      </c>
      <c r="C800" t="s">
        <v>102</v>
      </c>
      <c r="D800" t="s">
        <v>91</v>
      </c>
      <c r="F800" s="6">
        <v>1048</v>
      </c>
      <c r="G800" t="s">
        <v>135</v>
      </c>
      <c r="H800" t="s">
        <v>131</v>
      </c>
    </row>
    <row r="801" spans="1:8" x14ac:dyDescent="0.2">
      <c r="A801" s="5">
        <v>46235</v>
      </c>
      <c r="B801" t="s">
        <v>134</v>
      </c>
      <c r="C801" t="s">
        <v>106</v>
      </c>
      <c r="D801" t="s">
        <v>65</v>
      </c>
      <c r="F801" s="6">
        <v>24943</v>
      </c>
      <c r="G801" t="s">
        <v>135</v>
      </c>
      <c r="H801" t="s">
        <v>131</v>
      </c>
    </row>
    <row r="802" spans="1:8" x14ac:dyDescent="0.2">
      <c r="A802" s="5">
        <v>46235</v>
      </c>
      <c r="B802" t="s">
        <v>134</v>
      </c>
      <c r="C802" t="s">
        <v>106</v>
      </c>
      <c r="D802" t="s">
        <v>67</v>
      </c>
      <c r="F802" s="6">
        <v>58396</v>
      </c>
      <c r="G802" t="s">
        <v>135</v>
      </c>
      <c r="H802" t="s">
        <v>131</v>
      </c>
    </row>
    <row r="803" spans="1:8" x14ac:dyDescent="0.2">
      <c r="A803" s="5">
        <v>46235</v>
      </c>
      <c r="B803" t="s">
        <v>134</v>
      </c>
      <c r="C803" t="s">
        <v>106</v>
      </c>
      <c r="D803" t="s">
        <v>71</v>
      </c>
      <c r="F803" s="6">
        <v>13256</v>
      </c>
      <c r="G803" t="s">
        <v>135</v>
      </c>
      <c r="H803" t="s">
        <v>131</v>
      </c>
    </row>
    <row r="804" spans="1:8" x14ac:dyDescent="0.2">
      <c r="A804" s="5">
        <v>46235</v>
      </c>
      <c r="B804" t="s">
        <v>134</v>
      </c>
      <c r="C804" t="s">
        <v>106</v>
      </c>
      <c r="D804" t="s">
        <v>75</v>
      </c>
      <c r="F804" s="6">
        <v>5676</v>
      </c>
      <c r="G804" t="s">
        <v>135</v>
      </c>
      <c r="H804" t="s">
        <v>131</v>
      </c>
    </row>
    <row r="805" spans="1:8" x14ac:dyDescent="0.2">
      <c r="A805" s="5">
        <v>46235</v>
      </c>
      <c r="B805" t="s">
        <v>134</v>
      </c>
      <c r="C805" t="s">
        <v>106</v>
      </c>
      <c r="D805" t="s">
        <v>76</v>
      </c>
      <c r="F805" s="6">
        <v>3594</v>
      </c>
      <c r="G805" t="s">
        <v>135</v>
      </c>
      <c r="H805" t="s">
        <v>131</v>
      </c>
    </row>
    <row r="806" spans="1:8" x14ac:dyDescent="0.2">
      <c r="A806" s="5">
        <v>46235</v>
      </c>
      <c r="B806" t="s">
        <v>134</v>
      </c>
      <c r="C806" t="s">
        <v>106</v>
      </c>
      <c r="D806" t="s">
        <v>79</v>
      </c>
      <c r="F806" s="6">
        <v>2431</v>
      </c>
      <c r="G806" t="s">
        <v>135</v>
      </c>
      <c r="H806" t="s">
        <v>131</v>
      </c>
    </row>
    <row r="807" spans="1:8" x14ac:dyDescent="0.2">
      <c r="A807" s="5">
        <v>46235</v>
      </c>
      <c r="B807" t="s">
        <v>134</v>
      </c>
      <c r="C807" t="s">
        <v>106</v>
      </c>
      <c r="D807" t="s">
        <v>87</v>
      </c>
      <c r="F807" s="6">
        <v>1817</v>
      </c>
      <c r="G807" t="s">
        <v>135</v>
      </c>
      <c r="H807" t="s">
        <v>131</v>
      </c>
    </row>
    <row r="808" spans="1:8" x14ac:dyDescent="0.2">
      <c r="A808" s="5">
        <v>46235</v>
      </c>
      <c r="B808" t="s">
        <v>134</v>
      </c>
      <c r="C808" t="s">
        <v>106</v>
      </c>
      <c r="D808" t="s">
        <v>91</v>
      </c>
      <c r="F808" s="6">
        <v>1230</v>
      </c>
      <c r="G808" t="s">
        <v>135</v>
      </c>
      <c r="H808" t="s">
        <v>131</v>
      </c>
    </row>
    <row r="809" spans="1:8" x14ac:dyDescent="0.2">
      <c r="A809" s="5">
        <v>46235</v>
      </c>
      <c r="B809" t="s">
        <v>134</v>
      </c>
      <c r="C809" t="s">
        <v>110</v>
      </c>
      <c r="D809" t="s">
        <v>61</v>
      </c>
      <c r="F809" s="6">
        <v>184800</v>
      </c>
      <c r="G809" t="s">
        <v>135</v>
      </c>
      <c r="H809" t="s">
        <v>131</v>
      </c>
    </row>
    <row r="810" spans="1:8" x14ac:dyDescent="0.2">
      <c r="A810" s="5">
        <v>46235</v>
      </c>
      <c r="B810" t="s">
        <v>134</v>
      </c>
      <c r="C810" t="s">
        <v>110</v>
      </c>
      <c r="D810" t="s">
        <v>67</v>
      </c>
      <c r="F810" s="6">
        <v>167176</v>
      </c>
      <c r="G810" t="s">
        <v>135</v>
      </c>
      <c r="H810" t="s">
        <v>131</v>
      </c>
    </row>
    <row r="811" spans="1:8" x14ac:dyDescent="0.2">
      <c r="A811" s="5">
        <v>46235</v>
      </c>
      <c r="B811" t="s">
        <v>134</v>
      </c>
      <c r="C811" t="s">
        <v>110</v>
      </c>
      <c r="D811" t="s">
        <v>71</v>
      </c>
      <c r="F811" s="6">
        <v>37080</v>
      </c>
      <c r="G811" t="s">
        <v>135</v>
      </c>
      <c r="H811" t="s">
        <v>131</v>
      </c>
    </row>
    <row r="812" spans="1:8" x14ac:dyDescent="0.2">
      <c r="A812" s="5">
        <v>46235</v>
      </c>
      <c r="B812" t="s">
        <v>134</v>
      </c>
      <c r="C812" t="s">
        <v>110</v>
      </c>
      <c r="D812" t="s">
        <v>75</v>
      </c>
      <c r="F812" s="6">
        <v>16677</v>
      </c>
      <c r="G812" t="s">
        <v>135</v>
      </c>
      <c r="H812" t="s">
        <v>131</v>
      </c>
    </row>
    <row r="813" spans="1:8" x14ac:dyDescent="0.2">
      <c r="A813" s="5">
        <v>46235</v>
      </c>
      <c r="B813" t="s">
        <v>134</v>
      </c>
      <c r="C813" t="s">
        <v>110</v>
      </c>
      <c r="D813" t="s">
        <v>76</v>
      </c>
      <c r="F813" s="6">
        <v>10930</v>
      </c>
      <c r="G813" t="s">
        <v>135</v>
      </c>
      <c r="H813" t="s">
        <v>131</v>
      </c>
    </row>
    <row r="814" spans="1:8" x14ac:dyDescent="0.2">
      <c r="A814" s="5">
        <v>46235</v>
      </c>
      <c r="B814" t="s">
        <v>134</v>
      </c>
      <c r="C814" t="s">
        <v>110</v>
      </c>
      <c r="D814" t="s">
        <v>79</v>
      </c>
      <c r="F814" s="6">
        <v>6797</v>
      </c>
      <c r="G814" t="s">
        <v>135</v>
      </c>
      <c r="H814" t="s">
        <v>131</v>
      </c>
    </row>
    <row r="815" spans="1:8" x14ac:dyDescent="0.2">
      <c r="A815" s="5">
        <v>46235</v>
      </c>
      <c r="B815" t="s">
        <v>134</v>
      </c>
      <c r="C815" t="s">
        <v>110</v>
      </c>
      <c r="D815" t="s">
        <v>87</v>
      </c>
      <c r="F815" s="6">
        <v>5271</v>
      </c>
      <c r="G815" t="s">
        <v>135</v>
      </c>
      <c r="H815" t="s">
        <v>131</v>
      </c>
    </row>
    <row r="816" spans="1:8" x14ac:dyDescent="0.2">
      <c r="A816" s="5">
        <v>46235</v>
      </c>
      <c r="B816" t="s">
        <v>134</v>
      </c>
      <c r="C816" t="s">
        <v>110</v>
      </c>
      <c r="D816" t="s">
        <v>89</v>
      </c>
      <c r="F816" s="6">
        <v>30775</v>
      </c>
      <c r="G816" t="s">
        <v>135</v>
      </c>
      <c r="H816" t="s">
        <v>131</v>
      </c>
    </row>
    <row r="817" spans="1:8" x14ac:dyDescent="0.2">
      <c r="A817" s="5">
        <v>46235</v>
      </c>
      <c r="B817" t="s">
        <v>134</v>
      </c>
      <c r="C817" t="s">
        <v>110</v>
      </c>
      <c r="D817" t="s">
        <v>91</v>
      </c>
      <c r="F817" s="6">
        <v>3422</v>
      </c>
      <c r="G817" t="s">
        <v>135</v>
      </c>
      <c r="H817" t="s">
        <v>131</v>
      </c>
    </row>
    <row r="818" spans="1:8" x14ac:dyDescent="0.2">
      <c r="A818" s="5">
        <v>46235</v>
      </c>
      <c r="B818" t="s">
        <v>134</v>
      </c>
      <c r="C818" t="s">
        <v>114</v>
      </c>
      <c r="D818" t="s">
        <v>67</v>
      </c>
      <c r="F818" s="6">
        <v>48147</v>
      </c>
      <c r="G818" t="s">
        <v>135</v>
      </c>
      <c r="H818" t="s">
        <v>131</v>
      </c>
    </row>
    <row r="819" spans="1:8" x14ac:dyDescent="0.2">
      <c r="A819" s="5">
        <v>46235</v>
      </c>
      <c r="B819" t="s">
        <v>134</v>
      </c>
      <c r="C819" t="s">
        <v>114</v>
      </c>
      <c r="D819" t="s">
        <v>71</v>
      </c>
      <c r="F819" s="6">
        <v>10447</v>
      </c>
      <c r="G819" t="s">
        <v>135</v>
      </c>
      <c r="H819" t="s">
        <v>131</v>
      </c>
    </row>
    <row r="820" spans="1:8" x14ac:dyDescent="0.2">
      <c r="A820" s="5">
        <v>46235</v>
      </c>
      <c r="B820" t="s">
        <v>134</v>
      </c>
      <c r="C820" t="s">
        <v>114</v>
      </c>
      <c r="D820" t="s">
        <v>75</v>
      </c>
      <c r="F820" s="6">
        <v>4948</v>
      </c>
      <c r="G820" t="s">
        <v>135</v>
      </c>
      <c r="H820" t="s">
        <v>131</v>
      </c>
    </row>
    <row r="821" spans="1:8" x14ac:dyDescent="0.2">
      <c r="A821" s="5">
        <v>46235</v>
      </c>
      <c r="B821" t="s">
        <v>134</v>
      </c>
      <c r="C821" t="s">
        <v>114</v>
      </c>
      <c r="D821" t="s">
        <v>76</v>
      </c>
      <c r="F821" s="6">
        <v>2888</v>
      </c>
      <c r="G821" t="s">
        <v>135</v>
      </c>
      <c r="H821" t="s">
        <v>131</v>
      </c>
    </row>
    <row r="822" spans="1:8" x14ac:dyDescent="0.2">
      <c r="A822" s="5">
        <v>46235</v>
      </c>
      <c r="B822" t="s">
        <v>134</v>
      </c>
      <c r="C822" t="s">
        <v>114</v>
      </c>
      <c r="D822" t="s">
        <v>79</v>
      </c>
      <c r="F822" s="6">
        <v>1923</v>
      </c>
      <c r="G822" t="s">
        <v>135</v>
      </c>
      <c r="H822" t="s">
        <v>131</v>
      </c>
    </row>
    <row r="823" spans="1:8" x14ac:dyDescent="0.2">
      <c r="A823" s="5">
        <v>46235</v>
      </c>
      <c r="B823" t="s">
        <v>134</v>
      </c>
      <c r="C823" t="s">
        <v>114</v>
      </c>
      <c r="D823" t="s">
        <v>87</v>
      </c>
      <c r="F823" s="6">
        <v>1513</v>
      </c>
      <c r="G823" t="s">
        <v>135</v>
      </c>
      <c r="H823" t="s">
        <v>131</v>
      </c>
    </row>
    <row r="824" spans="1:8" x14ac:dyDescent="0.2">
      <c r="A824" s="5">
        <v>46235</v>
      </c>
      <c r="B824" t="s">
        <v>134</v>
      </c>
      <c r="C824" t="s">
        <v>114</v>
      </c>
      <c r="D824" t="s">
        <v>91</v>
      </c>
      <c r="F824" s="6">
        <v>883</v>
      </c>
      <c r="G824" t="s">
        <v>135</v>
      </c>
      <c r="H824" t="s">
        <v>131</v>
      </c>
    </row>
    <row r="825" spans="1:8" x14ac:dyDescent="0.2">
      <c r="A825" s="5">
        <v>46235</v>
      </c>
      <c r="B825" t="s">
        <v>134</v>
      </c>
      <c r="C825" t="s">
        <v>118</v>
      </c>
      <c r="D825" t="s">
        <v>67</v>
      </c>
      <c r="F825" s="6">
        <v>74890</v>
      </c>
      <c r="G825" t="s">
        <v>135</v>
      </c>
      <c r="H825" t="s">
        <v>131</v>
      </c>
    </row>
    <row r="826" spans="1:8" x14ac:dyDescent="0.2">
      <c r="A826" s="5">
        <v>46235</v>
      </c>
      <c r="B826" t="s">
        <v>134</v>
      </c>
      <c r="C826" t="s">
        <v>118</v>
      </c>
      <c r="D826" t="s">
        <v>71</v>
      </c>
      <c r="F826" s="6">
        <v>16052</v>
      </c>
      <c r="G826" t="s">
        <v>135</v>
      </c>
      <c r="H826" t="s">
        <v>131</v>
      </c>
    </row>
    <row r="827" spans="1:8" x14ac:dyDescent="0.2">
      <c r="A827" s="5">
        <v>46235</v>
      </c>
      <c r="B827" t="s">
        <v>134</v>
      </c>
      <c r="C827" t="s">
        <v>118</v>
      </c>
      <c r="D827" t="s">
        <v>75</v>
      </c>
      <c r="F827" s="6">
        <v>8037</v>
      </c>
      <c r="G827" t="s">
        <v>135</v>
      </c>
      <c r="H827" t="s">
        <v>131</v>
      </c>
    </row>
    <row r="828" spans="1:8" x14ac:dyDescent="0.2">
      <c r="A828" s="5">
        <v>46235</v>
      </c>
      <c r="B828" t="s">
        <v>134</v>
      </c>
      <c r="C828" t="s">
        <v>118</v>
      </c>
      <c r="D828" t="s">
        <v>76</v>
      </c>
      <c r="F828" s="6">
        <v>4626</v>
      </c>
      <c r="G828" t="s">
        <v>135</v>
      </c>
      <c r="H828" t="s">
        <v>131</v>
      </c>
    </row>
    <row r="829" spans="1:8" x14ac:dyDescent="0.2">
      <c r="A829" s="5">
        <v>46235</v>
      </c>
      <c r="B829" t="s">
        <v>134</v>
      </c>
      <c r="C829" t="s">
        <v>118</v>
      </c>
      <c r="D829" t="s">
        <v>79</v>
      </c>
      <c r="F829" s="6">
        <v>2879</v>
      </c>
      <c r="G829" t="s">
        <v>135</v>
      </c>
      <c r="H829" t="s">
        <v>131</v>
      </c>
    </row>
    <row r="830" spans="1:8" x14ac:dyDescent="0.2">
      <c r="A830" s="5">
        <v>46235</v>
      </c>
      <c r="B830" t="s">
        <v>134</v>
      </c>
      <c r="C830" t="s">
        <v>118</v>
      </c>
      <c r="D830" t="s">
        <v>83</v>
      </c>
      <c r="F830" s="6">
        <v>40463</v>
      </c>
      <c r="G830" t="s">
        <v>135</v>
      </c>
      <c r="H830" t="s">
        <v>131</v>
      </c>
    </row>
    <row r="831" spans="1:8" x14ac:dyDescent="0.2">
      <c r="A831" s="5">
        <v>46235</v>
      </c>
      <c r="B831" t="s">
        <v>134</v>
      </c>
      <c r="C831" t="s">
        <v>118</v>
      </c>
      <c r="D831" t="s">
        <v>85</v>
      </c>
      <c r="F831" s="6">
        <v>24391</v>
      </c>
      <c r="G831" t="s">
        <v>135</v>
      </c>
      <c r="H831" t="s">
        <v>131</v>
      </c>
    </row>
    <row r="832" spans="1:8" x14ac:dyDescent="0.2">
      <c r="A832" s="5">
        <v>46235</v>
      </c>
      <c r="B832" t="s">
        <v>134</v>
      </c>
      <c r="C832" t="s">
        <v>118</v>
      </c>
      <c r="D832" t="s">
        <v>87</v>
      </c>
      <c r="F832" s="6">
        <v>2318</v>
      </c>
      <c r="G832" t="s">
        <v>135</v>
      </c>
      <c r="H832" t="s">
        <v>131</v>
      </c>
    </row>
    <row r="833" spans="1:8" x14ac:dyDescent="0.2">
      <c r="A833" s="5">
        <v>46235</v>
      </c>
      <c r="B833" t="s">
        <v>134</v>
      </c>
      <c r="C833" t="s">
        <v>118</v>
      </c>
      <c r="D833" t="s">
        <v>91</v>
      </c>
      <c r="F833" s="6">
        <v>1597</v>
      </c>
      <c r="G833" t="s">
        <v>135</v>
      </c>
      <c r="H833" t="s">
        <v>131</v>
      </c>
    </row>
    <row r="834" spans="1:8" x14ac:dyDescent="0.2">
      <c r="A834" s="5">
        <v>46266</v>
      </c>
      <c r="B834" t="s">
        <v>129</v>
      </c>
      <c r="C834" t="s">
        <v>122</v>
      </c>
      <c r="D834" t="s">
        <v>54</v>
      </c>
      <c r="E834" t="s">
        <v>130</v>
      </c>
      <c r="F834" s="6">
        <v>1995467</v>
      </c>
      <c r="G834" t="s">
        <v>46</v>
      </c>
      <c r="H834" t="s">
        <v>131</v>
      </c>
    </row>
    <row r="835" spans="1:8" x14ac:dyDescent="0.2">
      <c r="A835" s="5">
        <v>46266</v>
      </c>
      <c r="B835" t="s">
        <v>129</v>
      </c>
      <c r="C835" t="s">
        <v>122</v>
      </c>
      <c r="D835" t="s">
        <v>54</v>
      </c>
      <c r="E835" t="s">
        <v>132</v>
      </c>
      <c r="F835" s="6">
        <v>1110584</v>
      </c>
      <c r="G835" t="s">
        <v>46</v>
      </c>
      <c r="H835" t="s">
        <v>131</v>
      </c>
    </row>
    <row r="836" spans="1:8" x14ac:dyDescent="0.2">
      <c r="A836" s="5">
        <v>46266</v>
      </c>
      <c r="B836" t="s">
        <v>129</v>
      </c>
      <c r="C836" t="s">
        <v>122</v>
      </c>
      <c r="D836" t="s">
        <v>58</v>
      </c>
      <c r="E836" t="s">
        <v>133</v>
      </c>
      <c r="F836" s="6">
        <v>309836</v>
      </c>
      <c r="G836" t="s">
        <v>46</v>
      </c>
      <c r="H836" t="s">
        <v>131</v>
      </c>
    </row>
    <row r="837" spans="1:8" x14ac:dyDescent="0.2">
      <c r="A837" s="5">
        <v>46266</v>
      </c>
      <c r="B837" t="s">
        <v>129</v>
      </c>
      <c r="C837" t="s">
        <v>97</v>
      </c>
      <c r="D837" t="s">
        <v>67</v>
      </c>
      <c r="F837" s="6">
        <v>365168</v>
      </c>
      <c r="G837" t="s">
        <v>46</v>
      </c>
      <c r="H837" t="s">
        <v>131</v>
      </c>
    </row>
    <row r="838" spans="1:8" x14ac:dyDescent="0.2">
      <c r="A838" s="5">
        <v>46266</v>
      </c>
      <c r="B838" t="s">
        <v>129</v>
      </c>
      <c r="C838" t="s">
        <v>97</v>
      </c>
      <c r="D838" t="s">
        <v>71</v>
      </c>
      <c r="F838" s="6">
        <v>78878</v>
      </c>
      <c r="G838" t="s">
        <v>46</v>
      </c>
      <c r="H838" t="s">
        <v>131</v>
      </c>
    </row>
    <row r="839" spans="1:8" x14ac:dyDescent="0.2">
      <c r="A839" s="5">
        <v>46266</v>
      </c>
      <c r="B839" t="s">
        <v>129</v>
      </c>
      <c r="C839" t="s">
        <v>97</v>
      </c>
      <c r="D839" t="s">
        <v>73</v>
      </c>
      <c r="F839" s="6">
        <v>128544</v>
      </c>
      <c r="G839" t="s">
        <v>46</v>
      </c>
      <c r="H839" t="s">
        <v>131</v>
      </c>
    </row>
    <row r="840" spans="1:8" x14ac:dyDescent="0.2">
      <c r="A840" s="5">
        <v>46266</v>
      </c>
      <c r="B840" t="s">
        <v>129</v>
      </c>
      <c r="C840" t="s">
        <v>97</v>
      </c>
      <c r="D840" t="s">
        <v>75</v>
      </c>
      <c r="F840" s="6">
        <v>36281</v>
      </c>
      <c r="G840" t="s">
        <v>46</v>
      </c>
      <c r="H840" t="s">
        <v>131</v>
      </c>
    </row>
    <row r="841" spans="1:8" x14ac:dyDescent="0.2">
      <c r="A841" s="5">
        <v>46266</v>
      </c>
      <c r="B841" t="s">
        <v>129</v>
      </c>
      <c r="C841" t="s">
        <v>97</v>
      </c>
      <c r="D841" t="s">
        <v>76</v>
      </c>
      <c r="F841" s="6">
        <v>21749</v>
      </c>
      <c r="G841" t="s">
        <v>46</v>
      </c>
      <c r="H841" t="s">
        <v>131</v>
      </c>
    </row>
    <row r="842" spans="1:8" x14ac:dyDescent="0.2">
      <c r="A842" s="5">
        <v>46266</v>
      </c>
      <c r="B842" t="s">
        <v>129</v>
      </c>
      <c r="C842" t="s">
        <v>97</v>
      </c>
      <c r="D842" t="s">
        <v>79</v>
      </c>
      <c r="F842" s="6">
        <v>25576</v>
      </c>
      <c r="G842" t="s">
        <v>46</v>
      </c>
      <c r="H842" t="s">
        <v>131</v>
      </c>
    </row>
    <row r="843" spans="1:8" x14ac:dyDescent="0.2">
      <c r="A843" s="5">
        <v>46266</v>
      </c>
      <c r="B843" t="s">
        <v>129</v>
      </c>
      <c r="C843" t="s">
        <v>97</v>
      </c>
      <c r="D843" t="s">
        <v>87</v>
      </c>
      <c r="F843" s="6">
        <v>11027</v>
      </c>
      <c r="G843" t="s">
        <v>46</v>
      </c>
      <c r="H843" t="s">
        <v>131</v>
      </c>
    </row>
    <row r="844" spans="1:8" x14ac:dyDescent="0.2">
      <c r="A844" s="5">
        <v>46266</v>
      </c>
      <c r="B844" t="s">
        <v>129</v>
      </c>
      <c r="C844" t="s">
        <v>97</v>
      </c>
      <c r="D844" t="s">
        <v>91</v>
      </c>
      <c r="F844" s="6">
        <v>7010</v>
      </c>
      <c r="G844" t="s">
        <v>46</v>
      </c>
      <c r="H844" t="s">
        <v>131</v>
      </c>
    </row>
    <row r="845" spans="1:8" x14ac:dyDescent="0.2">
      <c r="A845" s="5">
        <v>46266</v>
      </c>
      <c r="B845" t="s">
        <v>129</v>
      </c>
      <c r="C845" t="s">
        <v>102</v>
      </c>
      <c r="D845" t="s">
        <v>67</v>
      </c>
      <c r="F845" s="6">
        <v>160151</v>
      </c>
      <c r="G845" t="s">
        <v>46</v>
      </c>
      <c r="H845" t="s">
        <v>131</v>
      </c>
    </row>
    <row r="846" spans="1:8" x14ac:dyDescent="0.2">
      <c r="A846" s="5">
        <v>46266</v>
      </c>
      <c r="B846" t="s">
        <v>129</v>
      </c>
      <c r="C846" t="s">
        <v>102</v>
      </c>
      <c r="D846" t="s">
        <v>71</v>
      </c>
      <c r="F846" s="6">
        <v>35562</v>
      </c>
      <c r="G846" t="s">
        <v>46</v>
      </c>
      <c r="H846" t="s">
        <v>131</v>
      </c>
    </row>
    <row r="847" spans="1:8" x14ac:dyDescent="0.2">
      <c r="A847" s="5">
        <v>46266</v>
      </c>
      <c r="B847" t="s">
        <v>129</v>
      </c>
      <c r="C847" t="s">
        <v>102</v>
      </c>
      <c r="D847" t="s">
        <v>75</v>
      </c>
      <c r="F847" s="6">
        <v>16348</v>
      </c>
      <c r="G847" t="s">
        <v>46</v>
      </c>
      <c r="H847" t="s">
        <v>131</v>
      </c>
    </row>
    <row r="848" spans="1:8" x14ac:dyDescent="0.2">
      <c r="A848" s="5">
        <v>46266</v>
      </c>
      <c r="B848" t="s">
        <v>129</v>
      </c>
      <c r="C848" t="s">
        <v>102</v>
      </c>
      <c r="D848" t="s">
        <v>76</v>
      </c>
      <c r="F848" s="6">
        <v>9374</v>
      </c>
      <c r="G848" t="s">
        <v>46</v>
      </c>
      <c r="H848" t="s">
        <v>131</v>
      </c>
    </row>
    <row r="849" spans="1:8" x14ac:dyDescent="0.2">
      <c r="A849" s="5">
        <v>46266</v>
      </c>
      <c r="B849" t="s">
        <v>129</v>
      </c>
      <c r="C849" t="s">
        <v>102</v>
      </c>
      <c r="D849" t="s">
        <v>79</v>
      </c>
      <c r="F849" s="6">
        <v>12385</v>
      </c>
      <c r="G849" t="s">
        <v>46</v>
      </c>
      <c r="H849" t="s">
        <v>131</v>
      </c>
    </row>
    <row r="850" spans="1:8" x14ac:dyDescent="0.2">
      <c r="A850" s="5">
        <v>46266</v>
      </c>
      <c r="B850" t="s">
        <v>129</v>
      </c>
      <c r="C850" t="s">
        <v>102</v>
      </c>
      <c r="D850" t="s">
        <v>81</v>
      </c>
      <c r="F850" s="6">
        <v>193496</v>
      </c>
      <c r="G850" t="s">
        <v>46</v>
      </c>
      <c r="H850" t="s">
        <v>131</v>
      </c>
    </row>
    <row r="851" spans="1:8" x14ac:dyDescent="0.2">
      <c r="A851" s="5">
        <v>46266</v>
      </c>
      <c r="B851" t="s">
        <v>129</v>
      </c>
      <c r="C851" t="s">
        <v>102</v>
      </c>
      <c r="D851" t="s">
        <v>87</v>
      </c>
      <c r="F851" s="6">
        <v>5145</v>
      </c>
      <c r="G851" t="s">
        <v>46</v>
      </c>
      <c r="H851" t="s">
        <v>131</v>
      </c>
    </row>
    <row r="852" spans="1:8" x14ac:dyDescent="0.2">
      <c r="A852" s="5">
        <v>46266</v>
      </c>
      <c r="B852" t="s">
        <v>129</v>
      </c>
      <c r="C852" t="s">
        <v>102</v>
      </c>
      <c r="D852" t="s">
        <v>91</v>
      </c>
      <c r="F852" s="6">
        <v>2961</v>
      </c>
      <c r="G852" t="s">
        <v>46</v>
      </c>
      <c r="H852" t="s">
        <v>131</v>
      </c>
    </row>
    <row r="853" spans="1:8" x14ac:dyDescent="0.2">
      <c r="A853" s="5">
        <v>46266</v>
      </c>
      <c r="B853" t="s">
        <v>129</v>
      </c>
      <c r="C853" t="s">
        <v>106</v>
      </c>
      <c r="D853" t="s">
        <v>65</v>
      </c>
      <c r="F853" s="6">
        <v>72170</v>
      </c>
      <c r="G853" t="s">
        <v>46</v>
      </c>
      <c r="H853" t="s">
        <v>131</v>
      </c>
    </row>
    <row r="854" spans="1:8" x14ac:dyDescent="0.2">
      <c r="A854" s="5">
        <v>46266</v>
      </c>
      <c r="B854" t="s">
        <v>129</v>
      </c>
      <c r="C854" t="s">
        <v>106</v>
      </c>
      <c r="D854" t="s">
        <v>67</v>
      </c>
      <c r="F854" s="6">
        <v>179449</v>
      </c>
      <c r="G854" t="s">
        <v>46</v>
      </c>
      <c r="H854" t="s">
        <v>131</v>
      </c>
    </row>
    <row r="855" spans="1:8" x14ac:dyDescent="0.2">
      <c r="A855" s="5">
        <v>46266</v>
      </c>
      <c r="B855" t="s">
        <v>129</v>
      </c>
      <c r="C855" t="s">
        <v>106</v>
      </c>
      <c r="D855" t="s">
        <v>71</v>
      </c>
      <c r="F855" s="6">
        <v>40486</v>
      </c>
      <c r="G855" t="s">
        <v>46</v>
      </c>
      <c r="H855" t="s">
        <v>131</v>
      </c>
    </row>
    <row r="856" spans="1:8" x14ac:dyDescent="0.2">
      <c r="A856" s="5">
        <v>46266</v>
      </c>
      <c r="B856" t="s">
        <v>129</v>
      </c>
      <c r="C856" t="s">
        <v>106</v>
      </c>
      <c r="D856" t="s">
        <v>75</v>
      </c>
      <c r="F856" s="6">
        <v>18777</v>
      </c>
      <c r="G856" t="s">
        <v>46</v>
      </c>
      <c r="H856" t="s">
        <v>131</v>
      </c>
    </row>
    <row r="857" spans="1:8" x14ac:dyDescent="0.2">
      <c r="A857" s="5">
        <v>46266</v>
      </c>
      <c r="B857" t="s">
        <v>129</v>
      </c>
      <c r="C857" t="s">
        <v>106</v>
      </c>
      <c r="D857" t="s">
        <v>76</v>
      </c>
      <c r="F857" s="6">
        <v>10327</v>
      </c>
      <c r="G857" t="s">
        <v>46</v>
      </c>
      <c r="H857" t="s">
        <v>131</v>
      </c>
    </row>
    <row r="858" spans="1:8" x14ac:dyDescent="0.2">
      <c r="A858" s="5">
        <v>46266</v>
      </c>
      <c r="B858" t="s">
        <v>129</v>
      </c>
      <c r="C858" t="s">
        <v>106</v>
      </c>
      <c r="D858" t="s">
        <v>79</v>
      </c>
      <c r="F858" s="6">
        <v>7900</v>
      </c>
      <c r="G858" t="s">
        <v>46</v>
      </c>
      <c r="H858" t="s">
        <v>131</v>
      </c>
    </row>
    <row r="859" spans="1:8" x14ac:dyDescent="0.2">
      <c r="A859" s="5">
        <v>46266</v>
      </c>
      <c r="B859" t="s">
        <v>129</v>
      </c>
      <c r="C859" t="s">
        <v>106</v>
      </c>
      <c r="D859" t="s">
        <v>87</v>
      </c>
      <c r="F859" s="6">
        <v>5168</v>
      </c>
      <c r="G859" t="s">
        <v>46</v>
      </c>
      <c r="H859" t="s">
        <v>131</v>
      </c>
    </row>
    <row r="860" spans="1:8" x14ac:dyDescent="0.2">
      <c r="A860" s="5">
        <v>46266</v>
      </c>
      <c r="B860" t="s">
        <v>129</v>
      </c>
      <c r="C860" t="s">
        <v>106</v>
      </c>
      <c r="D860" t="s">
        <v>91</v>
      </c>
      <c r="F860" s="6">
        <v>3437</v>
      </c>
      <c r="G860" t="s">
        <v>46</v>
      </c>
      <c r="H860" t="s">
        <v>131</v>
      </c>
    </row>
    <row r="861" spans="1:8" x14ac:dyDescent="0.2">
      <c r="A861" s="5">
        <v>46266</v>
      </c>
      <c r="B861" t="s">
        <v>129</v>
      </c>
      <c r="C861" t="s">
        <v>110</v>
      </c>
      <c r="D861" t="s">
        <v>61</v>
      </c>
      <c r="F861" s="6">
        <v>546141</v>
      </c>
      <c r="G861" t="s">
        <v>46</v>
      </c>
      <c r="H861" t="s">
        <v>131</v>
      </c>
    </row>
    <row r="862" spans="1:8" x14ac:dyDescent="0.2">
      <c r="A862" s="5">
        <v>46266</v>
      </c>
      <c r="B862" t="s">
        <v>129</v>
      </c>
      <c r="C862" t="s">
        <v>110</v>
      </c>
      <c r="D862" t="s">
        <v>67</v>
      </c>
      <c r="F862" s="6">
        <v>516511</v>
      </c>
      <c r="G862" t="s">
        <v>46</v>
      </c>
      <c r="H862" t="s">
        <v>131</v>
      </c>
    </row>
    <row r="863" spans="1:8" x14ac:dyDescent="0.2">
      <c r="A863" s="5">
        <v>46266</v>
      </c>
      <c r="B863" t="s">
        <v>129</v>
      </c>
      <c r="C863" t="s">
        <v>110</v>
      </c>
      <c r="D863" t="s">
        <v>71</v>
      </c>
      <c r="F863" s="6">
        <v>113183</v>
      </c>
      <c r="G863" t="s">
        <v>46</v>
      </c>
      <c r="H863" t="s">
        <v>131</v>
      </c>
    </row>
    <row r="864" spans="1:8" x14ac:dyDescent="0.2">
      <c r="A864" s="5">
        <v>46266</v>
      </c>
      <c r="B864" t="s">
        <v>129</v>
      </c>
      <c r="C864" t="s">
        <v>110</v>
      </c>
      <c r="D864" t="s">
        <v>75</v>
      </c>
      <c r="F864" s="6">
        <v>52462</v>
      </c>
      <c r="G864" t="s">
        <v>46</v>
      </c>
      <c r="H864" t="s">
        <v>131</v>
      </c>
    </row>
    <row r="865" spans="1:8" x14ac:dyDescent="0.2">
      <c r="A865" s="5">
        <v>46266</v>
      </c>
      <c r="B865" t="s">
        <v>129</v>
      </c>
      <c r="C865" t="s">
        <v>110</v>
      </c>
      <c r="D865" t="s">
        <v>76</v>
      </c>
      <c r="F865" s="6">
        <v>35406</v>
      </c>
      <c r="G865" t="s">
        <v>46</v>
      </c>
      <c r="H865" t="s">
        <v>131</v>
      </c>
    </row>
    <row r="866" spans="1:8" x14ac:dyDescent="0.2">
      <c r="A866" s="5">
        <v>46266</v>
      </c>
      <c r="B866" t="s">
        <v>129</v>
      </c>
      <c r="C866" t="s">
        <v>110</v>
      </c>
      <c r="D866" t="s">
        <v>79</v>
      </c>
      <c r="F866" s="6">
        <v>23507</v>
      </c>
      <c r="G866" t="s">
        <v>46</v>
      </c>
      <c r="H866" t="s">
        <v>131</v>
      </c>
    </row>
    <row r="867" spans="1:8" x14ac:dyDescent="0.2">
      <c r="A867" s="5">
        <v>46266</v>
      </c>
      <c r="B867" t="s">
        <v>129</v>
      </c>
      <c r="C867" t="s">
        <v>110</v>
      </c>
      <c r="D867" t="s">
        <v>87</v>
      </c>
      <c r="F867" s="6">
        <v>16952</v>
      </c>
      <c r="G867" t="s">
        <v>46</v>
      </c>
      <c r="H867" t="s">
        <v>131</v>
      </c>
    </row>
    <row r="868" spans="1:8" x14ac:dyDescent="0.2">
      <c r="A868" s="5">
        <v>46266</v>
      </c>
      <c r="B868" t="s">
        <v>129</v>
      </c>
      <c r="C868" t="s">
        <v>110</v>
      </c>
      <c r="D868" t="s">
        <v>89</v>
      </c>
      <c r="F868" s="6">
        <v>99105</v>
      </c>
      <c r="G868" t="s">
        <v>46</v>
      </c>
      <c r="H868" t="s">
        <v>131</v>
      </c>
    </row>
    <row r="869" spans="1:8" x14ac:dyDescent="0.2">
      <c r="A869" s="5">
        <v>46266</v>
      </c>
      <c r="B869" t="s">
        <v>129</v>
      </c>
      <c r="C869" t="s">
        <v>110</v>
      </c>
      <c r="D869" t="s">
        <v>91</v>
      </c>
      <c r="F869" s="6">
        <v>11764</v>
      </c>
      <c r="G869" t="s">
        <v>46</v>
      </c>
      <c r="H869" t="s">
        <v>131</v>
      </c>
    </row>
    <row r="870" spans="1:8" x14ac:dyDescent="0.2">
      <c r="A870" s="5">
        <v>46266</v>
      </c>
      <c r="B870" t="s">
        <v>129</v>
      </c>
      <c r="C870" t="s">
        <v>114</v>
      </c>
      <c r="D870" t="s">
        <v>67</v>
      </c>
      <c r="F870" s="6">
        <v>155187</v>
      </c>
      <c r="G870" t="s">
        <v>46</v>
      </c>
      <c r="H870" t="s">
        <v>131</v>
      </c>
    </row>
    <row r="871" spans="1:8" x14ac:dyDescent="0.2">
      <c r="A871" s="5">
        <v>46266</v>
      </c>
      <c r="B871" t="s">
        <v>129</v>
      </c>
      <c r="C871" t="s">
        <v>114</v>
      </c>
      <c r="D871" t="s">
        <v>71</v>
      </c>
      <c r="F871" s="6">
        <v>33784</v>
      </c>
      <c r="G871" t="s">
        <v>46</v>
      </c>
      <c r="H871" t="s">
        <v>131</v>
      </c>
    </row>
    <row r="872" spans="1:8" x14ac:dyDescent="0.2">
      <c r="A872" s="5">
        <v>46266</v>
      </c>
      <c r="B872" t="s">
        <v>129</v>
      </c>
      <c r="C872" t="s">
        <v>114</v>
      </c>
      <c r="D872" t="s">
        <v>75</v>
      </c>
      <c r="F872" s="6">
        <v>15518</v>
      </c>
      <c r="G872" t="s">
        <v>46</v>
      </c>
      <c r="H872" t="s">
        <v>131</v>
      </c>
    </row>
    <row r="873" spans="1:8" x14ac:dyDescent="0.2">
      <c r="A873" s="5">
        <v>46266</v>
      </c>
      <c r="B873" t="s">
        <v>129</v>
      </c>
      <c r="C873" t="s">
        <v>114</v>
      </c>
      <c r="D873" t="s">
        <v>76</v>
      </c>
      <c r="F873" s="6">
        <v>8913</v>
      </c>
      <c r="G873" t="s">
        <v>46</v>
      </c>
      <c r="H873" t="s">
        <v>131</v>
      </c>
    </row>
    <row r="874" spans="1:8" x14ac:dyDescent="0.2">
      <c r="A874" s="5">
        <v>46266</v>
      </c>
      <c r="B874" t="s">
        <v>129</v>
      </c>
      <c r="C874" t="s">
        <v>114</v>
      </c>
      <c r="D874" t="s">
        <v>79</v>
      </c>
      <c r="F874" s="6">
        <v>6121</v>
      </c>
      <c r="G874" t="s">
        <v>46</v>
      </c>
      <c r="H874" t="s">
        <v>131</v>
      </c>
    </row>
    <row r="875" spans="1:8" x14ac:dyDescent="0.2">
      <c r="A875" s="5">
        <v>46266</v>
      </c>
      <c r="B875" t="s">
        <v>129</v>
      </c>
      <c r="C875" t="s">
        <v>114</v>
      </c>
      <c r="D875" t="s">
        <v>87</v>
      </c>
      <c r="F875" s="6">
        <v>4362</v>
      </c>
      <c r="G875" t="s">
        <v>46</v>
      </c>
      <c r="H875" t="s">
        <v>131</v>
      </c>
    </row>
    <row r="876" spans="1:8" x14ac:dyDescent="0.2">
      <c r="A876" s="5">
        <v>46266</v>
      </c>
      <c r="B876" t="s">
        <v>129</v>
      </c>
      <c r="C876" t="s">
        <v>114</v>
      </c>
      <c r="D876" t="s">
        <v>91</v>
      </c>
      <c r="F876" s="6">
        <v>2964</v>
      </c>
      <c r="G876" t="s">
        <v>46</v>
      </c>
      <c r="H876" t="s">
        <v>131</v>
      </c>
    </row>
    <row r="877" spans="1:8" x14ac:dyDescent="0.2">
      <c r="A877" s="5">
        <v>46266</v>
      </c>
      <c r="B877" t="s">
        <v>129</v>
      </c>
      <c r="C877" t="s">
        <v>118</v>
      </c>
      <c r="D877" t="s">
        <v>67</v>
      </c>
      <c r="F877" s="6">
        <v>242672</v>
      </c>
      <c r="G877" t="s">
        <v>46</v>
      </c>
      <c r="H877" t="s">
        <v>131</v>
      </c>
    </row>
    <row r="878" spans="1:8" x14ac:dyDescent="0.2">
      <c r="A878" s="5">
        <v>46266</v>
      </c>
      <c r="B878" t="s">
        <v>129</v>
      </c>
      <c r="C878" t="s">
        <v>118</v>
      </c>
      <c r="D878" t="s">
        <v>71</v>
      </c>
      <c r="F878" s="6">
        <v>49756</v>
      </c>
      <c r="G878" t="s">
        <v>46</v>
      </c>
      <c r="H878" t="s">
        <v>131</v>
      </c>
    </row>
    <row r="879" spans="1:8" x14ac:dyDescent="0.2">
      <c r="A879" s="5">
        <v>46266</v>
      </c>
      <c r="B879" t="s">
        <v>129</v>
      </c>
      <c r="C879" t="s">
        <v>118</v>
      </c>
      <c r="D879" t="s">
        <v>75</v>
      </c>
      <c r="F879" s="6">
        <v>25064</v>
      </c>
      <c r="G879" t="s">
        <v>46</v>
      </c>
      <c r="H879" t="s">
        <v>131</v>
      </c>
    </row>
    <row r="880" spans="1:8" x14ac:dyDescent="0.2">
      <c r="A880" s="5">
        <v>46266</v>
      </c>
      <c r="B880" t="s">
        <v>129</v>
      </c>
      <c r="C880" t="s">
        <v>118</v>
      </c>
      <c r="D880" t="s">
        <v>76</v>
      </c>
      <c r="F880" s="6">
        <v>14360</v>
      </c>
      <c r="G880" t="s">
        <v>46</v>
      </c>
      <c r="H880" t="s">
        <v>131</v>
      </c>
    </row>
    <row r="881" spans="1:8" x14ac:dyDescent="0.2">
      <c r="A881" s="5">
        <v>46266</v>
      </c>
      <c r="B881" t="s">
        <v>129</v>
      </c>
      <c r="C881" t="s">
        <v>118</v>
      </c>
      <c r="D881" t="s">
        <v>79</v>
      </c>
      <c r="F881" s="6">
        <v>9853</v>
      </c>
      <c r="G881" t="s">
        <v>46</v>
      </c>
      <c r="H881" t="s">
        <v>131</v>
      </c>
    </row>
    <row r="882" spans="1:8" x14ac:dyDescent="0.2">
      <c r="A882" s="5">
        <v>46266</v>
      </c>
      <c r="B882" t="s">
        <v>129</v>
      </c>
      <c r="C882" t="s">
        <v>118</v>
      </c>
      <c r="D882" t="s">
        <v>83</v>
      </c>
      <c r="F882" s="6">
        <v>151551</v>
      </c>
      <c r="G882" t="s">
        <v>46</v>
      </c>
      <c r="H882" t="s">
        <v>131</v>
      </c>
    </row>
    <row r="883" spans="1:8" x14ac:dyDescent="0.2">
      <c r="A883" s="5">
        <v>46266</v>
      </c>
      <c r="B883" t="s">
        <v>129</v>
      </c>
      <c r="C883" t="s">
        <v>118</v>
      </c>
      <c r="D883" t="s">
        <v>85</v>
      </c>
      <c r="F883" s="6">
        <v>82574</v>
      </c>
      <c r="G883" t="s">
        <v>46</v>
      </c>
      <c r="H883" t="s">
        <v>131</v>
      </c>
    </row>
    <row r="884" spans="1:8" x14ac:dyDescent="0.2">
      <c r="A884" s="5">
        <v>46266</v>
      </c>
      <c r="B884" t="s">
        <v>129</v>
      </c>
      <c r="C884" t="s">
        <v>118</v>
      </c>
      <c r="D884" t="s">
        <v>87</v>
      </c>
      <c r="F884" s="6">
        <v>7370</v>
      </c>
      <c r="G884" t="s">
        <v>46</v>
      </c>
      <c r="H884" t="s">
        <v>131</v>
      </c>
    </row>
    <row r="885" spans="1:8" x14ac:dyDescent="0.2">
      <c r="A885" s="5">
        <v>46266</v>
      </c>
      <c r="B885" t="s">
        <v>129</v>
      </c>
      <c r="C885" t="s">
        <v>118</v>
      </c>
      <c r="D885" t="s">
        <v>91</v>
      </c>
      <c r="F885" s="6">
        <v>4808</v>
      </c>
      <c r="G885" t="s">
        <v>46</v>
      </c>
      <c r="H885" t="s">
        <v>131</v>
      </c>
    </row>
    <row r="886" spans="1:8" x14ac:dyDescent="0.2">
      <c r="A886" s="5">
        <v>46266</v>
      </c>
      <c r="B886" t="s">
        <v>134</v>
      </c>
      <c r="C886" t="s">
        <v>122</v>
      </c>
      <c r="D886" t="s">
        <v>54</v>
      </c>
      <c r="E886" t="s">
        <v>130</v>
      </c>
      <c r="F886" s="6">
        <v>645254</v>
      </c>
      <c r="G886" t="s">
        <v>135</v>
      </c>
      <c r="H886" t="s">
        <v>131</v>
      </c>
    </row>
    <row r="887" spans="1:8" x14ac:dyDescent="0.2">
      <c r="A887" s="5">
        <v>46266</v>
      </c>
      <c r="B887" t="s">
        <v>134</v>
      </c>
      <c r="C887" t="s">
        <v>122</v>
      </c>
      <c r="D887" t="s">
        <v>54</v>
      </c>
      <c r="E887" t="s">
        <v>132</v>
      </c>
      <c r="F887" s="6">
        <v>350035</v>
      </c>
      <c r="G887" t="s">
        <v>135</v>
      </c>
      <c r="H887" t="s">
        <v>131</v>
      </c>
    </row>
    <row r="888" spans="1:8" x14ac:dyDescent="0.2">
      <c r="A888" s="5">
        <v>46266</v>
      </c>
      <c r="B888" t="s">
        <v>134</v>
      </c>
      <c r="C888" t="s">
        <v>122</v>
      </c>
      <c r="D888" t="s">
        <v>58</v>
      </c>
      <c r="E888" t="s">
        <v>133</v>
      </c>
      <c r="F888" s="6">
        <v>102649</v>
      </c>
      <c r="G888" t="s">
        <v>135</v>
      </c>
      <c r="H888" t="s">
        <v>131</v>
      </c>
    </row>
    <row r="889" spans="1:8" x14ac:dyDescent="0.2">
      <c r="A889" s="5">
        <v>46266</v>
      </c>
      <c r="B889" t="s">
        <v>134</v>
      </c>
      <c r="C889" t="s">
        <v>97</v>
      </c>
      <c r="D889" t="s">
        <v>67</v>
      </c>
      <c r="F889" s="6">
        <v>118777</v>
      </c>
      <c r="G889" t="s">
        <v>135</v>
      </c>
      <c r="H889" t="s">
        <v>131</v>
      </c>
    </row>
    <row r="890" spans="1:8" x14ac:dyDescent="0.2">
      <c r="A890" s="5">
        <v>46266</v>
      </c>
      <c r="B890" t="s">
        <v>134</v>
      </c>
      <c r="C890" t="s">
        <v>97</v>
      </c>
      <c r="D890" t="s">
        <v>71</v>
      </c>
      <c r="F890" s="6">
        <v>25861</v>
      </c>
      <c r="G890" t="s">
        <v>135</v>
      </c>
      <c r="H890" t="s">
        <v>131</v>
      </c>
    </row>
    <row r="891" spans="1:8" x14ac:dyDescent="0.2">
      <c r="A891" s="5">
        <v>46266</v>
      </c>
      <c r="B891" t="s">
        <v>134</v>
      </c>
      <c r="C891" t="s">
        <v>97</v>
      </c>
      <c r="D891" t="s">
        <v>73</v>
      </c>
      <c r="F891" s="6">
        <v>35747</v>
      </c>
      <c r="G891" t="s">
        <v>135</v>
      </c>
      <c r="H891" t="s">
        <v>131</v>
      </c>
    </row>
    <row r="892" spans="1:8" x14ac:dyDescent="0.2">
      <c r="A892" s="5">
        <v>46266</v>
      </c>
      <c r="B892" t="s">
        <v>134</v>
      </c>
      <c r="C892" t="s">
        <v>97</v>
      </c>
      <c r="D892" t="s">
        <v>75</v>
      </c>
      <c r="F892" s="6">
        <v>11171</v>
      </c>
      <c r="G892" t="s">
        <v>135</v>
      </c>
      <c r="H892" t="s">
        <v>131</v>
      </c>
    </row>
    <row r="893" spans="1:8" x14ac:dyDescent="0.2">
      <c r="A893" s="5">
        <v>46266</v>
      </c>
      <c r="B893" t="s">
        <v>134</v>
      </c>
      <c r="C893" t="s">
        <v>97</v>
      </c>
      <c r="D893" t="s">
        <v>76</v>
      </c>
      <c r="F893" s="6">
        <v>7047</v>
      </c>
      <c r="G893" t="s">
        <v>135</v>
      </c>
      <c r="H893" t="s">
        <v>131</v>
      </c>
    </row>
    <row r="894" spans="1:8" x14ac:dyDescent="0.2">
      <c r="A894" s="5">
        <v>46266</v>
      </c>
      <c r="B894" t="s">
        <v>134</v>
      </c>
      <c r="C894" t="s">
        <v>97</v>
      </c>
      <c r="D894" t="s">
        <v>79</v>
      </c>
      <c r="F894" s="6">
        <v>8998</v>
      </c>
      <c r="G894" t="s">
        <v>135</v>
      </c>
      <c r="H894" t="s">
        <v>131</v>
      </c>
    </row>
    <row r="895" spans="1:8" x14ac:dyDescent="0.2">
      <c r="A895" s="5">
        <v>46266</v>
      </c>
      <c r="B895" t="s">
        <v>134</v>
      </c>
      <c r="C895" t="s">
        <v>97</v>
      </c>
      <c r="D895" t="s">
        <v>87</v>
      </c>
      <c r="F895" s="6">
        <v>3268</v>
      </c>
      <c r="G895" t="s">
        <v>135</v>
      </c>
      <c r="H895" t="s">
        <v>131</v>
      </c>
    </row>
    <row r="896" spans="1:8" x14ac:dyDescent="0.2">
      <c r="A896" s="5">
        <v>46266</v>
      </c>
      <c r="B896" t="s">
        <v>134</v>
      </c>
      <c r="C896" t="s">
        <v>97</v>
      </c>
      <c r="D896" t="s">
        <v>91</v>
      </c>
      <c r="F896" s="6">
        <v>2282</v>
      </c>
      <c r="G896" t="s">
        <v>135</v>
      </c>
      <c r="H896" t="s">
        <v>131</v>
      </c>
    </row>
    <row r="897" spans="1:8" x14ac:dyDescent="0.2">
      <c r="A897" s="5">
        <v>46266</v>
      </c>
      <c r="B897" t="s">
        <v>134</v>
      </c>
      <c r="C897" t="s">
        <v>102</v>
      </c>
      <c r="D897" t="s">
        <v>67</v>
      </c>
      <c r="F897" s="6">
        <v>52205</v>
      </c>
      <c r="G897" t="s">
        <v>135</v>
      </c>
      <c r="H897" t="s">
        <v>131</v>
      </c>
    </row>
    <row r="898" spans="1:8" x14ac:dyDescent="0.2">
      <c r="A898" s="5">
        <v>46266</v>
      </c>
      <c r="B898" t="s">
        <v>134</v>
      </c>
      <c r="C898" t="s">
        <v>102</v>
      </c>
      <c r="D898" t="s">
        <v>71</v>
      </c>
      <c r="F898" s="6">
        <v>11329</v>
      </c>
      <c r="G898" t="s">
        <v>135</v>
      </c>
      <c r="H898" t="s">
        <v>131</v>
      </c>
    </row>
    <row r="899" spans="1:8" x14ac:dyDescent="0.2">
      <c r="A899" s="5">
        <v>46266</v>
      </c>
      <c r="B899" t="s">
        <v>134</v>
      </c>
      <c r="C899" t="s">
        <v>102</v>
      </c>
      <c r="D899" t="s">
        <v>75</v>
      </c>
      <c r="F899" s="6">
        <v>5457</v>
      </c>
      <c r="G899" t="s">
        <v>135</v>
      </c>
      <c r="H899" t="s">
        <v>131</v>
      </c>
    </row>
    <row r="900" spans="1:8" x14ac:dyDescent="0.2">
      <c r="A900" s="5">
        <v>46266</v>
      </c>
      <c r="B900" t="s">
        <v>134</v>
      </c>
      <c r="C900" t="s">
        <v>102</v>
      </c>
      <c r="D900" t="s">
        <v>76</v>
      </c>
      <c r="F900" s="6">
        <v>3044</v>
      </c>
      <c r="G900" t="s">
        <v>135</v>
      </c>
      <c r="H900" t="s">
        <v>131</v>
      </c>
    </row>
    <row r="901" spans="1:8" x14ac:dyDescent="0.2">
      <c r="A901" s="5">
        <v>46266</v>
      </c>
      <c r="B901" t="s">
        <v>134</v>
      </c>
      <c r="C901" t="s">
        <v>102</v>
      </c>
      <c r="D901" t="s">
        <v>79</v>
      </c>
      <c r="F901" s="6">
        <v>4075</v>
      </c>
      <c r="G901" t="s">
        <v>135</v>
      </c>
      <c r="H901" t="s">
        <v>131</v>
      </c>
    </row>
    <row r="902" spans="1:8" x14ac:dyDescent="0.2">
      <c r="A902" s="5">
        <v>46266</v>
      </c>
      <c r="B902" t="s">
        <v>134</v>
      </c>
      <c r="C902" t="s">
        <v>102</v>
      </c>
      <c r="D902" t="s">
        <v>81</v>
      </c>
      <c r="F902" s="6">
        <v>72395</v>
      </c>
      <c r="G902" t="s">
        <v>135</v>
      </c>
      <c r="H902" t="s">
        <v>131</v>
      </c>
    </row>
    <row r="903" spans="1:8" x14ac:dyDescent="0.2">
      <c r="A903" s="5">
        <v>46266</v>
      </c>
      <c r="B903" t="s">
        <v>134</v>
      </c>
      <c r="C903" t="s">
        <v>102</v>
      </c>
      <c r="D903" t="s">
        <v>87</v>
      </c>
      <c r="F903" s="6">
        <v>1526</v>
      </c>
      <c r="G903" t="s">
        <v>135</v>
      </c>
      <c r="H903" t="s">
        <v>131</v>
      </c>
    </row>
    <row r="904" spans="1:8" x14ac:dyDescent="0.2">
      <c r="A904" s="5">
        <v>46266</v>
      </c>
      <c r="B904" t="s">
        <v>134</v>
      </c>
      <c r="C904" t="s">
        <v>102</v>
      </c>
      <c r="D904" t="s">
        <v>91</v>
      </c>
      <c r="F904" s="6">
        <v>1020</v>
      </c>
      <c r="G904" t="s">
        <v>135</v>
      </c>
      <c r="H904" t="s">
        <v>131</v>
      </c>
    </row>
    <row r="905" spans="1:8" x14ac:dyDescent="0.2">
      <c r="A905" s="5">
        <v>46266</v>
      </c>
      <c r="B905" t="s">
        <v>134</v>
      </c>
      <c r="C905" t="s">
        <v>106</v>
      </c>
      <c r="D905" t="s">
        <v>65</v>
      </c>
      <c r="F905" s="6">
        <v>24745</v>
      </c>
      <c r="G905" t="s">
        <v>135</v>
      </c>
      <c r="H905" t="s">
        <v>131</v>
      </c>
    </row>
    <row r="906" spans="1:8" x14ac:dyDescent="0.2">
      <c r="A906" s="5">
        <v>46266</v>
      </c>
      <c r="B906" t="s">
        <v>134</v>
      </c>
      <c r="C906" t="s">
        <v>106</v>
      </c>
      <c r="D906" t="s">
        <v>67</v>
      </c>
      <c r="F906" s="6">
        <v>60429</v>
      </c>
      <c r="G906" t="s">
        <v>135</v>
      </c>
      <c r="H906" t="s">
        <v>131</v>
      </c>
    </row>
    <row r="907" spans="1:8" x14ac:dyDescent="0.2">
      <c r="A907" s="5">
        <v>46266</v>
      </c>
      <c r="B907" t="s">
        <v>134</v>
      </c>
      <c r="C907" t="s">
        <v>106</v>
      </c>
      <c r="D907" t="s">
        <v>71</v>
      </c>
      <c r="F907" s="6">
        <v>12380</v>
      </c>
      <c r="G907" t="s">
        <v>135</v>
      </c>
      <c r="H907" t="s">
        <v>131</v>
      </c>
    </row>
    <row r="908" spans="1:8" x14ac:dyDescent="0.2">
      <c r="A908" s="5">
        <v>46266</v>
      </c>
      <c r="B908" t="s">
        <v>134</v>
      </c>
      <c r="C908" t="s">
        <v>106</v>
      </c>
      <c r="D908" t="s">
        <v>75</v>
      </c>
      <c r="F908" s="6">
        <v>6130</v>
      </c>
      <c r="G908" t="s">
        <v>135</v>
      </c>
      <c r="H908" t="s">
        <v>131</v>
      </c>
    </row>
    <row r="909" spans="1:8" x14ac:dyDescent="0.2">
      <c r="A909" s="5">
        <v>46266</v>
      </c>
      <c r="B909" t="s">
        <v>134</v>
      </c>
      <c r="C909" t="s">
        <v>106</v>
      </c>
      <c r="D909" t="s">
        <v>76</v>
      </c>
      <c r="F909" s="6">
        <v>3476</v>
      </c>
      <c r="G909" t="s">
        <v>135</v>
      </c>
      <c r="H909" t="s">
        <v>131</v>
      </c>
    </row>
    <row r="910" spans="1:8" x14ac:dyDescent="0.2">
      <c r="A910" s="5">
        <v>46266</v>
      </c>
      <c r="B910" t="s">
        <v>134</v>
      </c>
      <c r="C910" t="s">
        <v>106</v>
      </c>
      <c r="D910" t="s">
        <v>79</v>
      </c>
      <c r="F910" s="6">
        <v>2421</v>
      </c>
      <c r="G910" t="s">
        <v>135</v>
      </c>
      <c r="H910" t="s">
        <v>131</v>
      </c>
    </row>
    <row r="911" spans="1:8" x14ac:dyDescent="0.2">
      <c r="A911" s="5">
        <v>46266</v>
      </c>
      <c r="B911" t="s">
        <v>134</v>
      </c>
      <c r="C911" t="s">
        <v>106</v>
      </c>
      <c r="D911" t="s">
        <v>87</v>
      </c>
      <c r="F911" s="6">
        <v>1622</v>
      </c>
      <c r="G911" t="s">
        <v>135</v>
      </c>
      <c r="H911" t="s">
        <v>131</v>
      </c>
    </row>
    <row r="912" spans="1:8" x14ac:dyDescent="0.2">
      <c r="A912" s="5">
        <v>46266</v>
      </c>
      <c r="B912" t="s">
        <v>134</v>
      </c>
      <c r="C912" t="s">
        <v>106</v>
      </c>
      <c r="D912" t="s">
        <v>91</v>
      </c>
      <c r="F912" s="6">
        <v>1090</v>
      </c>
      <c r="G912" t="s">
        <v>135</v>
      </c>
      <c r="H912" t="s">
        <v>131</v>
      </c>
    </row>
    <row r="913" spans="1:8" x14ac:dyDescent="0.2">
      <c r="A913" s="5">
        <v>46266</v>
      </c>
      <c r="B913" t="s">
        <v>134</v>
      </c>
      <c r="C913" t="s">
        <v>110</v>
      </c>
      <c r="D913" t="s">
        <v>61</v>
      </c>
      <c r="F913" s="6">
        <v>165392</v>
      </c>
      <c r="G913" t="s">
        <v>135</v>
      </c>
      <c r="H913" t="s">
        <v>131</v>
      </c>
    </row>
    <row r="914" spans="1:8" x14ac:dyDescent="0.2">
      <c r="A914" s="5">
        <v>46266</v>
      </c>
      <c r="B914" t="s">
        <v>134</v>
      </c>
      <c r="C914" t="s">
        <v>110</v>
      </c>
      <c r="D914" t="s">
        <v>67</v>
      </c>
      <c r="F914" s="6">
        <v>167596</v>
      </c>
      <c r="G914" t="s">
        <v>135</v>
      </c>
      <c r="H914" t="s">
        <v>131</v>
      </c>
    </row>
    <row r="915" spans="1:8" x14ac:dyDescent="0.2">
      <c r="A915" s="5">
        <v>46266</v>
      </c>
      <c r="B915" t="s">
        <v>134</v>
      </c>
      <c r="C915" t="s">
        <v>110</v>
      </c>
      <c r="D915" t="s">
        <v>71</v>
      </c>
      <c r="F915" s="6">
        <v>36842</v>
      </c>
      <c r="G915" t="s">
        <v>135</v>
      </c>
      <c r="H915" t="s">
        <v>131</v>
      </c>
    </row>
    <row r="916" spans="1:8" x14ac:dyDescent="0.2">
      <c r="A916" s="5">
        <v>46266</v>
      </c>
      <c r="B916" t="s">
        <v>134</v>
      </c>
      <c r="C916" t="s">
        <v>110</v>
      </c>
      <c r="D916" t="s">
        <v>75</v>
      </c>
      <c r="F916" s="6">
        <v>16430</v>
      </c>
      <c r="G916" t="s">
        <v>135</v>
      </c>
      <c r="H916" t="s">
        <v>131</v>
      </c>
    </row>
    <row r="917" spans="1:8" x14ac:dyDescent="0.2">
      <c r="A917" s="5">
        <v>46266</v>
      </c>
      <c r="B917" t="s">
        <v>134</v>
      </c>
      <c r="C917" t="s">
        <v>110</v>
      </c>
      <c r="D917" t="s">
        <v>76</v>
      </c>
      <c r="F917" s="6">
        <v>10629</v>
      </c>
      <c r="G917" t="s">
        <v>135</v>
      </c>
      <c r="H917" t="s">
        <v>131</v>
      </c>
    </row>
    <row r="918" spans="1:8" x14ac:dyDescent="0.2">
      <c r="A918" s="5">
        <v>46266</v>
      </c>
      <c r="B918" t="s">
        <v>134</v>
      </c>
      <c r="C918" t="s">
        <v>110</v>
      </c>
      <c r="D918" t="s">
        <v>79</v>
      </c>
      <c r="F918" s="6">
        <v>7273</v>
      </c>
      <c r="G918" t="s">
        <v>135</v>
      </c>
      <c r="H918" t="s">
        <v>131</v>
      </c>
    </row>
    <row r="919" spans="1:8" x14ac:dyDescent="0.2">
      <c r="A919" s="5">
        <v>46266</v>
      </c>
      <c r="B919" t="s">
        <v>134</v>
      </c>
      <c r="C919" t="s">
        <v>110</v>
      </c>
      <c r="D919" t="s">
        <v>87</v>
      </c>
      <c r="F919" s="6">
        <v>5560</v>
      </c>
      <c r="G919" t="s">
        <v>135</v>
      </c>
      <c r="H919" t="s">
        <v>131</v>
      </c>
    </row>
    <row r="920" spans="1:8" x14ac:dyDescent="0.2">
      <c r="A920" s="5">
        <v>46266</v>
      </c>
      <c r="B920" t="s">
        <v>134</v>
      </c>
      <c r="C920" t="s">
        <v>110</v>
      </c>
      <c r="D920" t="s">
        <v>89</v>
      </c>
      <c r="F920" s="6">
        <v>29538</v>
      </c>
      <c r="G920" t="s">
        <v>135</v>
      </c>
      <c r="H920" t="s">
        <v>131</v>
      </c>
    </row>
    <row r="921" spans="1:8" x14ac:dyDescent="0.2">
      <c r="A921" s="5">
        <v>46266</v>
      </c>
      <c r="B921" t="s">
        <v>134</v>
      </c>
      <c r="C921" t="s">
        <v>110</v>
      </c>
      <c r="D921" t="s">
        <v>91</v>
      </c>
      <c r="F921" s="6">
        <v>3509</v>
      </c>
      <c r="G921" t="s">
        <v>135</v>
      </c>
      <c r="H921" t="s">
        <v>131</v>
      </c>
    </row>
    <row r="922" spans="1:8" x14ac:dyDescent="0.2">
      <c r="A922" s="5">
        <v>46266</v>
      </c>
      <c r="B922" t="s">
        <v>134</v>
      </c>
      <c r="C922" t="s">
        <v>114</v>
      </c>
      <c r="D922" t="s">
        <v>67</v>
      </c>
      <c r="F922" s="6">
        <v>48950</v>
      </c>
      <c r="G922" t="s">
        <v>135</v>
      </c>
      <c r="H922" t="s">
        <v>131</v>
      </c>
    </row>
    <row r="923" spans="1:8" x14ac:dyDescent="0.2">
      <c r="A923" s="5">
        <v>46266</v>
      </c>
      <c r="B923" t="s">
        <v>134</v>
      </c>
      <c r="C923" t="s">
        <v>114</v>
      </c>
      <c r="D923" t="s">
        <v>71</v>
      </c>
      <c r="F923" s="6">
        <v>10912</v>
      </c>
      <c r="G923" t="s">
        <v>135</v>
      </c>
      <c r="H923" t="s">
        <v>131</v>
      </c>
    </row>
    <row r="924" spans="1:8" x14ac:dyDescent="0.2">
      <c r="A924" s="5">
        <v>46266</v>
      </c>
      <c r="B924" t="s">
        <v>134</v>
      </c>
      <c r="C924" t="s">
        <v>114</v>
      </c>
      <c r="D924" t="s">
        <v>75</v>
      </c>
      <c r="F924" s="6">
        <v>5166</v>
      </c>
      <c r="G924" t="s">
        <v>135</v>
      </c>
      <c r="H924" t="s">
        <v>131</v>
      </c>
    </row>
    <row r="925" spans="1:8" x14ac:dyDescent="0.2">
      <c r="A925" s="5">
        <v>46266</v>
      </c>
      <c r="B925" t="s">
        <v>134</v>
      </c>
      <c r="C925" t="s">
        <v>114</v>
      </c>
      <c r="D925" t="s">
        <v>76</v>
      </c>
      <c r="F925" s="6">
        <v>2749</v>
      </c>
      <c r="G925" t="s">
        <v>135</v>
      </c>
      <c r="H925" t="s">
        <v>131</v>
      </c>
    </row>
    <row r="926" spans="1:8" x14ac:dyDescent="0.2">
      <c r="A926" s="5">
        <v>46266</v>
      </c>
      <c r="B926" t="s">
        <v>134</v>
      </c>
      <c r="C926" t="s">
        <v>114</v>
      </c>
      <c r="D926" t="s">
        <v>79</v>
      </c>
      <c r="F926" s="6">
        <v>1970</v>
      </c>
      <c r="G926" t="s">
        <v>135</v>
      </c>
      <c r="H926" t="s">
        <v>131</v>
      </c>
    </row>
    <row r="927" spans="1:8" x14ac:dyDescent="0.2">
      <c r="A927" s="5">
        <v>46266</v>
      </c>
      <c r="B927" t="s">
        <v>134</v>
      </c>
      <c r="C927" t="s">
        <v>114</v>
      </c>
      <c r="D927" t="s">
        <v>87</v>
      </c>
      <c r="F927" s="6">
        <v>1434</v>
      </c>
      <c r="G927" t="s">
        <v>135</v>
      </c>
      <c r="H927" t="s">
        <v>131</v>
      </c>
    </row>
    <row r="928" spans="1:8" x14ac:dyDescent="0.2">
      <c r="A928" s="5">
        <v>46266</v>
      </c>
      <c r="B928" t="s">
        <v>134</v>
      </c>
      <c r="C928" t="s">
        <v>114</v>
      </c>
      <c r="D928" t="s">
        <v>91</v>
      </c>
      <c r="F928" s="6">
        <v>1007</v>
      </c>
      <c r="G928" t="s">
        <v>135</v>
      </c>
      <c r="H928" t="s">
        <v>131</v>
      </c>
    </row>
    <row r="929" spans="1:8" x14ac:dyDescent="0.2">
      <c r="A929" s="5">
        <v>46266</v>
      </c>
      <c r="B929" t="s">
        <v>134</v>
      </c>
      <c r="C929" t="s">
        <v>118</v>
      </c>
      <c r="D929" t="s">
        <v>67</v>
      </c>
      <c r="F929" s="6">
        <v>74549</v>
      </c>
      <c r="G929" t="s">
        <v>135</v>
      </c>
      <c r="H929" t="s">
        <v>131</v>
      </c>
    </row>
    <row r="930" spans="1:8" x14ac:dyDescent="0.2">
      <c r="A930" s="5">
        <v>46266</v>
      </c>
      <c r="B930" t="s">
        <v>134</v>
      </c>
      <c r="C930" t="s">
        <v>118</v>
      </c>
      <c r="D930" t="s">
        <v>71</v>
      </c>
      <c r="F930" s="6">
        <v>15922</v>
      </c>
      <c r="G930" t="s">
        <v>135</v>
      </c>
      <c r="H930" t="s">
        <v>131</v>
      </c>
    </row>
    <row r="931" spans="1:8" x14ac:dyDescent="0.2">
      <c r="A931" s="5">
        <v>46266</v>
      </c>
      <c r="B931" t="s">
        <v>134</v>
      </c>
      <c r="C931" t="s">
        <v>118</v>
      </c>
      <c r="D931" t="s">
        <v>75</v>
      </c>
      <c r="F931" s="6">
        <v>7475</v>
      </c>
      <c r="G931" t="s">
        <v>135</v>
      </c>
      <c r="H931" t="s">
        <v>131</v>
      </c>
    </row>
    <row r="932" spans="1:8" x14ac:dyDescent="0.2">
      <c r="A932" s="5">
        <v>46266</v>
      </c>
      <c r="B932" t="s">
        <v>134</v>
      </c>
      <c r="C932" t="s">
        <v>118</v>
      </c>
      <c r="D932" t="s">
        <v>76</v>
      </c>
      <c r="F932" s="6">
        <v>4591</v>
      </c>
      <c r="G932" t="s">
        <v>135</v>
      </c>
      <c r="H932" t="s">
        <v>131</v>
      </c>
    </row>
    <row r="933" spans="1:8" x14ac:dyDescent="0.2">
      <c r="A933" s="5">
        <v>46266</v>
      </c>
      <c r="B933" t="s">
        <v>134</v>
      </c>
      <c r="C933" t="s">
        <v>118</v>
      </c>
      <c r="D933" t="s">
        <v>79</v>
      </c>
      <c r="F933" s="6">
        <v>3205</v>
      </c>
      <c r="G933" t="s">
        <v>135</v>
      </c>
      <c r="H933" t="s">
        <v>131</v>
      </c>
    </row>
    <row r="934" spans="1:8" x14ac:dyDescent="0.2">
      <c r="A934" s="5">
        <v>46266</v>
      </c>
      <c r="B934" t="s">
        <v>134</v>
      </c>
      <c r="C934" t="s">
        <v>118</v>
      </c>
      <c r="D934" t="s">
        <v>83</v>
      </c>
      <c r="F934" s="6">
        <v>47833</v>
      </c>
      <c r="G934" t="s">
        <v>135</v>
      </c>
      <c r="H934" t="s">
        <v>131</v>
      </c>
    </row>
    <row r="935" spans="1:8" x14ac:dyDescent="0.2">
      <c r="A935" s="5">
        <v>46266</v>
      </c>
      <c r="B935" t="s">
        <v>134</v>
      </c>
      <c r="C935" t="s">
        <v>118</v>
      </c>
      <c r="D935" t="s">
        <v>85</v>
      </c>
      <c r="F935" s="6">
        <v>24134</v>
      </c>
      <c r="G935" t="s">
        <v>135</v>
      </c>
      <c r="H935" t="s">
        <v>131</v>
      </c>
    </row>
    <row r="936" spans="1:8" x14ac:dyDescent="0.2">
      <c r="A936" s="5">
        <v>46266</v>
      </c>
      <c r="B936" t="s">
        <v>134</v>
      </c>
      <c r="C936" t="s">
        <v>118</v>
      </c>
      <c r="D936" t="s">
        <v>87</v>
      </c>
      <c r="F936" s="6">
        <v>2247</v>
      </c>
      <c r="G936" t="s">
        <v>135</v>
      </c>
      <c r="H936" t="s">
        <v>131</v>
      </c>
    </row>
    <row r="937" spans="1:8" x14ac:dyDescent="0.2">
      <c r="A937" s="5">
        <v>46266</v>
      </c>
      <c r="B937" t="s">
        <v>134</v>
      </c>
      <c r="C937" t="s">
        <v>118</v>
      </c>
      <c r="D937" t="s">
        <v>91</v>
      </c>
      <c r="F937" s="6">
        <v>1483</v>
      </c>
      <c r="G937" t="s">
        <v>135</v>
      </c>
      <c r="H937" t="s">
        <v>131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2" customWidth="1"/>
    <col min="4" max="4" width="10" customWidth="1"/>
    <col min="5" max="5" width="11" customWidth="1"/>
    <col min="6" max="6" width="14" customWidth="1"/>
    <col min="7" max="7" width="12" customWidth="1"/>
  </cols>
  <sheetData>
    <row r="1" spans="1:7" x14ac:dyDescent="0.2">
      <c r="A1" s="2" t="s">
        <v>126</v>
      </c>
      <c r="B1" s="2" t="s">
        <v>127</v>
      </c>
      <c r="C1" s="2" t="s">
        <v>94</v>
      </c>
      <c r="D1" s="2" t="s">
        <v>49</v>
      </c>
      <c r="E1" s="2" t="s">
        <v>115</v>
      </c>
      <c r="F1" s="2" t="s">
        <v>136</v>
      </c>
      <c r="G1" s="2" t="s">
        <v>4</v>
      </c>
    </row>
    <row r="2" spans="1:7" x14ac:dyDescent="0.2">
      <c r="A2" s="5">
        <v>46023</v>
      </c>
      <c r="B2" t="s">
        <v>129</v>
      </c>
      <c r="C2" t="s">
        <v>122</v>
      </c>
      <c r="D2" t="s">
        <v>54</v>
      </c>
      <c r="E2" t="s">
        <v>130</v>
      </c>
      <c r="F2" s="6">
        <v>1690000</v>
      </c>
      <c r="G2" t="s">
        <v>137</v>
      </c>
    </row>
    <row r="3" spans="1:7" x14ac:dyDescent="0.2">
      <c r="A3" s="5">
        <v>46023</v>
      </c>
      <c r="B3" t="s">
        <v>129</v>
      </c>
      <c r="C3" t="s">
        <v>122</v>
      </c>
      <c r="D3" t="s">
        <v>54</v>
      </c>
      <c r="E3" t="s">
        <v>132</v>
      </c>
      <c r="F3" s="6">
        <v>910000</v>
      </c>
      <c r="G3" t="s">
        <v>137</v>
      </c>
    </row>
    <row r="4" spans="1:7" x14ac:dyDescent="0.2">
      <c r="A4" s="5">
        <v>46023</v>
      </c>
      <c r="B4" t="s">
        <v>129</v>
      </c>
      <c r="C4" t="s">
        <v>122</v>
      </c>
      <c r="D4" t="s">
        <v>58</v>
      </c>
      <c r="E4" t="s">
        <v>133</v>
      </c>
      <c r="F4" s="6">
        <v>260000</v>
      </c>
      <c r="G4" t="s">
        <v>137</v>
      </c>
    </row>
    <row r="5" spans="1:7" x14ac:dyDescent="0.2">
      <c r="A5" s="5">
        <v>46023</v>
      </c>
      <c r="B5" t="s">
        <v>129</v>
      </c>
      <c r="C5" t="s">
        <v>97</v>
      </c>
      <c r="D5" t="s">
        <v>67</v>
      </c>
      <c r="F5" s="6">
        <v>330000</v>
      </c>
      <c r="G5" t="s">
        <v>137</v>
      </c>
    </row>
    <row r="6" spans="1:7" x14ac:dyDescent="0.2">
      <c r="A6" s="5">
        <v>46023</v>
      </c>
      <c r="B6" t="s">
        <v>129</v>
      </c>
      <c r="C6" t="s">
        <v>97</v>
      </c>
      <c r="D6" t="s">
        <v>71</v>
      </c>
      <c r="F6" s="6">
        <v>72600</v>
      </c>
      <c r="G6" t="s">
        <v>137</v>
      </c>
    </row>
    <row r="7" spans="1:7" x14ac:dyDescent="0.2">
      <c r="A7" s="5">
        <v>46023</v>
      </c>
      <c r="B7" t="s">
        <v>129</v>
      </c>
      <c r="C7" t="s">
        <v>97</v>
      </c>
      <c r="D7" t="s">
        <v>73</v>
      </c>
      <c r="F7" s="6">
        <v>115500</v>
      </c>
      <c r="G7" t="s">
        <v>137</v>
      </c>
    </row>
    <row r="8" spans="1:7" x14ac:dyDescent="0.2">
      <c r="A8" s="5">
        <v>46023</v>
      </c>
      <c r="B8" t="s">
        <v>129</v>
      </c>
      <c r="C8" t="s">
        <v>97</v>
      </c>
      <c r="D8" t="s">
        <v>75</v>
      </c>
      <c r="F8" s="6">
        <v>33000</v>
      </c>
      <c r="G8" t="s">
        <v>137</v>
      </c>
    </row>
    <row r="9" spans="1:7" x14ac:dyDescent="0.2">
      <c r="A9" s="5">
        <v>46023</v>
      </c>
      <c r="B9" t="s">
        <v>129</v>
      </c>
      <c r="C9" t="s">
        <v>97</v>
      </c>
      <c r="D9" t="s">
        <v>76</v>
      </c>
      <c r="F9" s="6">
        <v>19800</v>
      </c>
      <c r="G9" t="s">
        <v>137</v>
      </c>
    </row>
    <row r="10" spans="1:7" x14ac:dyDescent="0.2">
      <c r="A10" s="5">
        <v>46023</v>
      </c>
      <c r="B10" t="s">
        <v>129</v>
      </c>
      <c r="C10" t="s">
        <v>97</v>
      </c>
      <c r="D10" t="s">
        <v>79</v>
      </c>
      <c r="F10" s="6">
        <v>26400</v>
      </c>
      <c r="G10" t="s">
        <v>137</v>
      </c>
    </row>
    <row r="11" spans="1:7" x14ac:dyDescent="0.2">
      <c r="A11" s="5">
        <v>46023</v>
      </c>
      <c r="B11" t="s">
        <v>129</v>
      </c>
      <c r="C11" t="s">
        <v>97</v>
      </c>
      <c r="D11" t="s">
        <v>87</v>
      </c>
      <c r="F11" s="6">
        <v>9900</v>
      </c>
      <c r="G11" t="s">
        <v>137</v>
      </c>
    </row>
    <row r="12" spans="1:7" x14ac:dyDescent="0.2">
      <c r="A12" s="5">
        <v>46023</v>
      </c>
      <c r="B12" t="s">
        <v>129</v>
      </c>
      <c r="C12" t="s">
        <v>97</v>
      </c>
      <c r="D12" t="s">
        <v>91</v>
      </c>
      <c r="F12" s="6">
        <v>6600</v>
      </c>
      <c r="G12" t="s">
        <v>137</v>
      </c>
    </row>
    <row r="13" spans="1:7" x14ac:dyDescent="0.2">
      <c r="A13" s="5">
        <v>46023</v>
      </c>
      <c r="B13" t="s">
        <v>129</v>
      </c>
      <c r="C13" t="s">
        <v>102</v>
      </c>
      <c r="D13" t="s">
        <v>67</v>
      </c>
      <c r="F13" s="6">
        <v>150000</v>
      </c>
      <c r="G13" t="s">
        <v>137</v>
      </c>
    </row>
    <row r="14" spans="1:7" x14ac:dyDescent="0.2">
      <c r="A14" s="5">
        <v>46023</v>
      </c>
      <c r="B14" t="s">
        <v>129</v>
      </c>
      <c r="C14" t="s">
        <v>102</v>
      </c>
      <c r="D14" t="s">
        <v>71</v>
      </c>
      <c r="F14" s="6">
        <v>33000</v>
      </c>
      <c r="G14" t="s">
        <v>137</v>
      </c>
    </row>
    <row r="15" spans="1:7" x14ac:dyDescent="0.2">
      <c r="A15" s="5">
        <v>46023</v>
      </c>
      <c r="B15" t="s">
        <v>129</v>
      </c>
      <c r="C15" t="s">
        <v>102</v>
      </c>
      <c r="D15" t="s">
        <v>75</v>
      </c>
      <c r="F15" s="6">
        <v>15000</v>
      </c>
      <c r="G15" t="s">
        <v>137</v>
      </c>
    </row>
    <row r="16" spans="1:7" x14ac:dyDescent="0.2">
      <c r="A16" s="5">
        <v>46023</v>
      </c>
      <c r="B16" t="s">
        <v>129</v>
      </c>
      <c r="C16" t="s">
        <v>102</v>
      </c>
      <c r="D16" t="s">
        <v>76</v>
      </c>
      <c r="F16" s="6">
        <v>9000</v>
      </c>
      <c r="G16" t="s">
        <v>137</v>
      </c>
    </row>
    <row r="17" spans="1:7" x14ac:dyDescent="0.2">
      <c r="A17" s="5">
        <v>46023</v>
      </c>
      <c r="B17" t="s">
        <v>129</v>
      </c>
      <c r="C17" t="s">
        <v>102</v>
      </c>
      <c r="D17" t="s">
        <v>79</v>
      </c>
      <c r="F17" s="6">
        <v>12000</v>
      </c>
      <c r="G17" t="s">
        <v>137</v>
      </c>
    </row>
    <row r="18" spans="1:7" x14ac:dyDescent="0.2">
      <c r="A18" s="5">
        <v>46023</v>
      </c>
      <c r="B18" t="s">
        <v>129</v>
      </c>
      <c r="C18" t="s">
        <v>102</v>
      </c>
      <c r="D18" t="s">
        <v>81</v>
      </c>
      <c r="F18" s="6">
        <v>202500</v>
      </c>
      <c r="G18" t="s">
        <v>137</v>
      </c>
    </row>
    <row r="19" spans="1:7" x14ac:dyDescent="0.2">
      <c r="A19" s="5">
        <v>46023</v>
      </c>
      <c r="B19" t="s">
        <v>129</v>
      </c>
      <c r="C19" t="s">
        <v>102</v>
      </c>
      <c r="D19" t="s">
        <v>87</v>
      </c>
      <c r="F19" s="6">
        <v>4500</v>
      </c>
      <c r="G19" t="s">
        <v>137</v>
      </c>
    </row>
    <row r="20" spans="1:7" x14ac:dyDescent="0.2">
      <c r="A20" s="5">
        <v>46023</v>
      </c>
      <c r="B20" t="s">
        <v>129</v>
      </c>
      <c r="C20" t="s">
        <v>102</v>
      </c>
      <c r="D20" t="s">
        <v>91</v>
      </c>
      <c r="F20" s="6">
        <v>3000</v>
      </c>
      <c r="G20" t="s">
        <v>137</v>
      </c>
    </row>
    <row r="21" spans="1:7" x14ac:dyDescent="0.2">
      <c r="A21" s="5">
        <v>46023</v>
      </c>
      <c r="B21" t="s">
        <v>129</v>
      </c>
      <c r="C21" t="s">
        <v>106</v>
      </c>
      <c r="D21" t="s">
        <v>65</v>
      </c>
      <c r="F21" s="6">
        <v>68000</v>
      </c>
      <c r="G21" t="s">
        <v>137</v>
      </c>
    </row>
    <row r="22" spans="1:7" x14ac:dyDescent="0.2">
      <c r="A22" s="5">
        <v>46023</v>
      </c>
      <c r="B22" t="s">
        <v>129</v>
      </c>
      <c r="C22" t="s">
        <v>106</v>
      </c>
      <c r="D22" t="s">
        <v>67</v>
      </c>
      <c r="F22" s="6">
        <v>170000</v>
      </c>
      <c r="G22" t="s">
        <v>137</v>
      </c>
    </row>
    <row r="23" spans="1:7" x14ac:dyDescent="0.2">
      <c r="A23" s="5">
        <v>46023</v>
      </c>
      <c r="B23" t="s">
        <v>129</v>
      </c>
      <c r="C23" t="s">
        <v>106</v>
      </c>
      <c r="D23" t="s">
        <v>71</v>
      </c>
      <c r="F23" s="6">
        <v>37400</v>
      </c>
      <c r="G23" t="s">
        <v>137</v>
      </c>
    </row>
    <row r="24" spans="1:7" x14ac:dyDescent="0.2">
      <c r="A24" s="5">
        <v>46023</v>
      </c>
      <c r="B24" t="s">
        <v>129</v>
      </c>
      <c r="C24" t="s">
        <v>106</v>
      </c>
      <c r="D24" t="s">
        <v>75</v>
      </c>
      <c r="F24" s="6">
        <v>17000</v>
      </c>
      <c r="G24" t="s">
        <v>137</v>
      </c>
    </row>
    <row r="25" spans="1:7" x14ac:dyDescent="0.2">
      <c r="A25" s="5">
        <v>46023</v>
      </c>
      <c r="B25" t="s">
        <v>129</v>
      </c>
      <c r="C25" t="s">
        <v>106</v>
      </c>
      <c r="D25" t="s">
        <v>76</v>
      </c>
      <c r="F25" s="6">
        <v>10200</v>
      </c>
      <c r="G25" t="s">
        <v>137</v>
      </c>
    </row>
    <row r="26" spans="1:7" x14ac:dyDescent="0.2">
      <c r="A26" s="5">
        <v>46023</v>
      </c>
      <c r="B26" t="s">
        <v>129</v>
      </c>
      <c r="C26" t="s">
        <v>106</v>
      </c>
      <c r="D26" t="s">
        <v>79</v>
      </c>
      <c r="F26" s="6">
        <v>6800</v>
      </c>
      <c r="G26" t="s">
        <v>137</v>
      </c>
    </row>
    <row r="27" spans="1:7" x14ac:dyDescent="0.2">
      <c r="A27" s="5">
        <v>46023</v>
      </c>
      <c r="B27" t="s">
        <v>129</v>
      </c>
      <c r="C27" t="s">
        <v>106</v>
      </c>
      <c r="D27" t="s">
        <v>87</v>
      </c>
      <c r="F27" s="6">
        <v>5100</v>
      </c>
      <c r="G27" t="s">
        <v>137</v>
      </c>
    </row>
    <row r="28" spans="1:7" x14ac:dyDescent="0.2">
      <c r="A28" s="5">
        <v>46023</v>
      </c>
      <c r="B28" t="s">
        <v>129</v>
      </c>
      <c r="C28" t="s">
        <v>106</v>
      </c>
      <c r="D28" t="s">
        <v>91</v>
      </c>
      <c r="F28" s="6">
        <v>3400</v>
      </c>
      <c r="G28" t="s">
        <v>137</v>
      </c>
    </row>
    <row r="29" spans="1:7" x14ac:dyDescent="0.2">
      <c r="A29" s="5">
        <v>46023</v>
      </c>
      <c r="B29" t="s">
        <v>129</v>
      </c>
      <c r="C29" t="s">
        <v>110</v>
      </c>
      <c r="D29" t="s">
        <v>61</v>
      </c>
      <c r="F29" s="6">
        <v>520000</v>
      </c>
      <c r="G29" t="s">
        <v>137</v>
      </c>
    </row>
    <row r="30" spans="1:7" x14ac:dyDescent="0.2">
      <c r="A30" s="5">
        <v>46023</v>
      </c>
      <c r="B30" t="s">
        <v>129</v>
      </c>
      <c r="C30" t="s">
        <v>110</v>
      </c>
      <c r="D30" t="s">
        <v>67</v>
      </c>
      <c r="F30" s="6">
        <v>520000</v>
      </c>
      <c r="G30" t="s">
        <v>137</v>
      </c>
    </row>
    <row r="31" spans="1:7" x14ac:dyDescent="0.2">
      <c r="A31" s="5">
        <v>46023</v>
      </c>
      <c r="B31" t="s">
        <v>129</v>
      </c>
      <c r="C31" t="s">
        <v>110</v>
      </c>
      <c r="D31" t="s">
        <v>71</v>
      </c>
      <c r="F31" s="6">
        <v>114400</v>
      </c>
      <c r="G31" t="s">
        <v>137</v>
      </c>
    </row>
    <row r="32" spans="1:7" x14ac:dyDescent="0.2">
      <c r="A32" s="5">
        <v>46023</v>
      </c>
      <c r="B32" t="s">
        <v>129</v>
      </c>
      <c r="C32" t="s">
        <v>110</v>
      </c>
      <c r="D32" t="s">
        <v>75</v>
      </c>
      <c r="F32" s="6">
        <v>52000</v>
      </c>
      <c r="G32" t="s">
        <v>137</v>
      </c>
    </row>
    <row r="33" spans="1:7" x14ac:dyDescent="0.2">
      <c r="A33" s="5">
        <v>46023</v>
      </c>
      <c r="B33" t="s">
        <v>129</v>
      </c>
      <c r="C33" t="s">
        <v>110</v>
      </c>
      <c r="D33" t="s">
        <v>76</v>
      </c>
      <c r="F33" s="6">
        <v>31200</v>
      </c>
      <c r="G33" t="s">
        <v>137</v>
      </c>
    </row>
    <row r="34" spans="1:7" x14ac:dyDescent="0.2">
      <c r="A34" s="5">
        <v>46023</v>
      </c>
      <c r="B34" t="s">
        <v>129</v>
      </c>
      <c r="C34" t="s">
        <v>110</v>
      </c>
      <c r="D34" t="s">
        <v>79</v>
      </c>
      <c r="F34" s="6">
        <v>20800</v>
      </c>
      <c r="G34" t="s">
        <v>137</v>
      </c>
    </row>
    <row r="35" spans="1:7" x14ac:dyDescent="0.2">
      <c r="A35" s="5">
        <v>46023</v>
      </c>
      <c r="B35" t="s">
        <v>129</v>
      </c>
      <c r="C35" t="s">
        <v>110</v>
      </c>
      <c r="D35" t="s">
        <v>87</v>
      </c>
      <c r="F35" s="6">
        <v>15600</v>
      </c>
      <c r="G35" t="s">
        <v>137</v>
      </c>
    </row>
    <row r="36" spans="1:7" x14ac:dyDescent="0.2">
      <c r="A36" s="5">
        <v>46023</v>
      </c>
      <c r="B36" t="s">
        <v>129</v>
      </c>
      <c r="C36" t="s">
        <v>110</v>
      </c>
      <c r="D36" t="s">
        <v>89</v>
      </c>
      <c r="F36" s="6">
        <v>88400</v>
      </c>
      <c r="G36" t="s">
        <v>137</v>
      </c>
    </row>
    <row r="37" spans="1:7" x14ac:dyDescent="0.2">
      <c r="A37" s="5">
        <v>46023</v>
      </c>
      <c r="B37" t="s">
        <v>129</v>
      </c>
      <c r="C37" t="s">
        <v>110</v>
      </c>
      <c r="D37" t="s">
        <v>91</v>
      </c>
      <c r="F37" s="6">
        <v>10400</v>
      </c>
      <c r="G37" t="s">
        <v>137</v>
      </c>
    </row>
    <row r="38" spans="1:7" x14ac:dyDescent="0.2">
      <c r="A38" s="5">
        <v>46023</v>
      </c>
      <c r="B38" t="s">
        <v>129</v>
      </c>
      <c r="C38" t="s">
        <v>114</v>
      </c>
      <c r="D38" t="s">
        <v>67</v>
      </c>
      <c r="F38" s="6">
        <v>140000</v>
      </c>
      <c r="G38" t="s">
        <v>137</v>
      </c>
    </row>
    <row r="39" spans="1:7" x14ac:dyDescent="0.2">
      <c r="A39" s="5">
        <v>46023</v>
      </c>
      <c r="B39" t="s">
        <v>129</v>
      </c>
      <c r="C39" t="s">
        <v>114</v>
      </c>
      <c r="D39" t="s">
        <v>71</v>
      </c>
      <c r="F39" s="6">
        <v>30800</v>
      </c>
      <c r="G39" t="s">
        <v>137</v>
      </c>
    </row>
    <row r="40" spans="1:7" x14ac:dyDescent="0.2">
      <c r="A40" s="5">
        <v>46023</v>
      </c>
      <c r="B40" t="s">
        <v>129</v>
      </c>
      <c r="C40" t="s">
        <v>114</v>
      </c>
      <c r="D40" t="s">
        <v>75</v>
      </c>
      <c r="F40" s="6">
        <v>14000</v>
      </c>
      <c r="G40" t="s">
        <v>137</v>
      </c>
    </row>
    <row r="41" spans="1:7" x14ac:dyDescent="0.2">
      <c r="A41" s="5">
        <v>46023</v>
      </c>
      <c r="B41" t="s">
        <v>129</v>
      </c>
      <c r="C41" t="s">
        <v>114</v>
      </c>
      <c r="D41" t="s">
        <v>76</v>
      </c>
      <c r="F41" s="6">
        <v>8400</v>
      </c>
      <c r="G41" t="s">
        <v>137</v>
      </c>
    </row>
    <row r="42" spans="1:7" x14ac:dyDescent="0.2">
      <c r="A42" s="5">
        <v>46023</v>
      </c>
      <c r="B42" t="s">
        <v>129</v>
      </c>
      <c r="C42" t="s">
        <v>114</v>
      </c>
      <c r="D42" t="s">
        <v>79</v>
      </c>
      <c r="F42" s="6">
        <v>5600</v>
      </c>
      <c r="G42" t="s">
        <v>137</v>
      </c>
    </row>
    <row r="43" spans="1:7" x14ac:dyDescent="0.2">
      <c r="A43" s="5">
        <v>46023</v>
      </c>
      <c r="B43" t="s">
        <v>129</v>
      </c>
      <c r="C43" t="s">
        <v>114</v>
      </c>
      <c r="D43" t="s">
        <v>87</v>
      </c>
      <c r="F43" s="6">
        <v>4200</v>
      </c>
      <c r="G43" t="s">
        <v>137</v>
      </c>
    </row>
    <row r="44" spans="1:7" x14ac:dyDescent="0.2">
      <c r="A44" s="5">
        <v>46023</v>
      </c>
      <c r="B44" t="s">
        <v>129</v>
      </c>
      <c r="C44" t="s">
        <v>114</v>
      </c>
      <c r="D44" t="s">
        <v>91</v>
      </c>
      <c r="F44" s="6">
        <v>2800</v>
      </c>
      <c r="G44" t="s">
        <v>137</v>
      </c>
    </row>
    <row r="45" spans="1:7" x14ac:dyDescent="0.2">
      <c r="A45" s="5">
        <v>46023</v>
      </c>
      <c r="B45" t="s">
        <v>129</v>
      </c>
      <c r="C45" t="s">
        <v>118</v>
      </c>
      <c r="D45" t="s">
        <v>67</v>
      </c>
      <c r="F45" s="6">
        <v>220000</v>
      </c>
      <c r="G45" t="s">
        <v>137</v>
      </c>
    </row>
    <row r="46" spans="1:7" x14ac:dyDescent="0.2">
      <c r="A46" s="5">
        <v>46023</v>
      </c>
      <c r="B46" t="s">
        <v>129</v>
      </c>
      <c r="C46" t="s">
        <v>118</v>
      </c>
      <c r="D46" t="s">
        <v>71</v>
      </c>
      <c r="F46" s="6">
        <v>48400</v>
      </c>
      <c r="G46" t="s">
        <v>137</v>
      </c>
    </row>
    <row r="47" spans="1:7" x14ac:dyDescent="0.2">
      <c r="A47" s="5">
        <v>46023</v>
      </c>
      <c r="B47" t="s">
        <v>129</v>
      </c>
      <c r="C47" t="s">
        <v>118</v>
      </c>
      <c r="D47" t="s">
        <v>75</v>
      </c>
      <c r="F47" s="6">
        <v>22000</v>
      </c>
      <c r="G47" t="s">
        <v>137</v>
      </c>
    </row>
    <row r="48" spans="1:7" x14ac:dyDescent="0.2">
      <c r="A48" s="5">
        <v>46023</v>
      </c>
      <c r="B48" t="s">
        <v>129</v>
      </c>
      <c r="C48" t="s">
        <v>118</v>
      </c>
      <c r="D48" t="s">
        <v>76</v>
      </c>
      <c r="F48" s="6">
        <v>13200</v>
      </c>
      <c r="G48" t="s">
        <v>137</v>
      </c>
    </row>
    <row r="49" spans="1:7" x14ac:dyDescent="0.2">
      <c r="A49" s="5">
        <v>46023</v>
      </c>
      <c r="B49" t="s">
        <v>129</v>
      </c>
      <c r="C49" t="s">
        <v>118</v>
      </c>
      <c r="D49" t="s">
        <v>79</v>
      </c>
      <c r="F49" s="6">
        <v>8800</v>
      </c>
      <c r="G49" t="s">
        <v>137</v>
      </c>
    </row>
    <row r="50" spans="1:7" x14ac:dyDescent="0.2">
      <c r="A50" s="5">
        <v>46023</v>
      </c>
      <c r="B50" t="s">
        <v>129</v>
      </c>
      <c r="C50" t="s">
        <v>118</v>
      </c>
      <c r="D50" t="s">
        <v>83</v>
      </c>
      <c r="F50" s="6">
        <v>127600</v>
      </c>
      <c r="G50" t="s">
        <v>137</v>
      </c>
    </row>
    <row r="51" spans="1:7" x14ac:dyDescent="0.2">
      <c r="A51" s="5">
        <v>46023</v>
      </c>
      <c r="B51" t="s">
        <v>129</v>
      </c>
      <c r="C51" t="s">
        <v>118</v>
      </c>
      <c r="D51" t="s">
        <v>85</v>
      </c>
      <c r="F51" s="6">
        <v>70400</v>
      </c>
      <c r="G51" t="s">
        <v>137</v>
      </c>
    </row>
    <row r="52" spans="1:7" x14ac:dyDescent="0.2">
      <c r="A52" s="5">
        <v>46023</v>
      </c>
      <c r="B52" t="s">
        <v>129</v>
      </c>
      <c r="C52" t="s">
        <v>118</v>
      </c>
      <c r="D52" t="s">
        <v>87</v>
      </c>
      <c r="F52" s="6">
        <v>6600</v>
      </c>
      <c r="G52" t="s">
        <v>137</v>
      </c>
    </row>
    <row r="53" spans="1:7" x14ac:dyDescent="0.2">
      <c r="A53" s="5">
        <v>46023</v>
      </c>
      <c r="B53" t="s">
        <v>129</v>
      </c>
      <c r="C53" t="s">
        <v>118</v>
      </c>
      <c r="D53" t="s">
        <v>91</v>
      </c>
      <c r="F53" s="6">
        <v>4400</v>
      </c>
      <c r="G53" t="s">
        <v>137</v>
      </c>
    </row>
    <row r="54" spans="1:7" x14ac:dyDescent="0.2">
      <c r="A54" s="5">
        <v>46023</v>
      </c>
      <c r="B54" t="s">
        <v>134</v>
      </c>
      <c r="C54" t="s">
        <v>122</v>
      </c>
      <c r="D54" t="s">
        <v>54</v>
      </c>
      <c r="E54" t="s">
        <v>130</v>
      </c>
      <c r="F54" s="6">
        <v>591500</v>
      </c>
      <c r="G54" t="s">
        <v>137</v>
      </c>
    </row>
    <row r="55" spans="1:7" x14ac:dyDescent="0.2">
      <c r="A55" s="5">
        <v>46023</v>
      </c>
      <c r="B55" t="s">
        <v>134</v>
      </c>
      <c r="C55" t="s">
        <v>122</v>
      </c>
      <c r="D55" t="s">
        <v>54</v>
      </c>
      <c r="E55" t="s">
        <v>132</v>
      </c>
      <c r="F55" s="6">
        <v>318500</v>
      </c>
      <c r="G55" t="s">
        <v>137</v>
      </c>
    </row>
    <row r="56" spans="1:7" x14ac:dyDescent="0.2">
      <c r="A56" s="5">
        <v>46023</v>
      </c>
      <c r="B56" t="s">
        <v>134</v>
      </c>
      <c r="C56" t="s">
        <v>122</v>
      </c>
      <c r="D56" t="s">
        <v>58</v>
      </c>
      <c r="E56" t="s">
        <v>133</v>
      </c>
      <c r="F56" s="6">
        <v>91000</v>
      </c>
      <c r="G56" t="s">
        <v>137</v>
      </c>
    </row>
    <row r="57" spans="1:7" x14ac:dyDescent="0.2">
      <c r="A57" s="5">
        <v>46023</v>
      </c>
      <c r="B57" t="s">
        <v>134</v>
      </c>
      <c r="C57" t="s">
        <v>97</v>
      </c>
      <c r="D57" t="s">
        <v>67</v>
      </c>
      <c r="F57" s="6">
        <v>115500</v>
      </c>
      <c r="G57" t="s">
        <v>137</v>
      </c>
    </row>
    <row r="58" spans="1:7" x14ac:dyDescent="0.2">
      <c r="A58" s="5">
        <v>46023</v>
      </c>
      <c r="B58" t="s">
        <v>134</v>
      </c>
      <c r="C58" t="s">
        <v>97</v>
      </c>
      <c r="D58" t="s">
        <v>71</v>
      </c>
      <c r="F58" s="6">
        <v>25410</v>
      </c>
      <c r="G58" t="s">
        <v>137</v>
      </c>
    </row>
    <row r="59" spans="1:7" x14ac:dyDescent="0.2">
      <c r="A59" s="5">
        <v>46023</v>
      </c>
      <c r="B59" t="s">
        <v>134</v>
      </c>
      <c r="C59" t="s">
        <v>97</v>
      </c>
      <c r="D59" t="s">
        <v>73</v>
      </c>
      <c r="F59" s="6">
        <v>40425</v>
      </c>
      <c r="G59" t="s">
        <v>137</v>
      </c>
    </row>
    <row r="60" spans="1:7" x14ac:dyDescent="0.2">
      <c r="A60" s="5">
        <v>46023</v>
      </c>
      <c r="B60" t="s">
        <v>134</v>
      </c>
      <c r="C60" t="s">
        <v>97</v>
      </c>
      <c r="D60" t="s">
        <v>75</v>
      </c>
      <c r="F60" s="6">
        <v>11550</v>
      </c>
      <c r="G60" t="s">
        <v>137</v>
      </c>
    </row>
    <row r="61" spans="1:7" x14ac:dyDescent="0.2">
      <c r="A61" s="5">
        <v>46023</v>
      </c>
      <c r="B61" t="s">
        <v>134</v>
      </c>
      <c r="C61" t="s">
        <v>97</v>
      </c>
      <c r="D61" t="s">
        <v>76</v>
      </c>
      <c r="F61" s="6">
        <v>6930</v>
      </c>
      <c r="G61" t="s">
        <v>137</v>
      </c>
    </row>
    <row r="62" spans="1:7" x14ac:dyDescent="0.2">
      <c r="A62" s="5">
        <v>46023</v>
      </c>
      <c r="B62" t="s">
        <v>134</v>
      </c>
      <c r="C62" t="s">
        <v>97</v>
      </c>
      <c r="D62" t="s">
        <v>79</v>
      </c>
      <c r="F62" s="6">
        <v>9240</v>
      </c>
      <c r="G62" t="s">
        <v>137</v>
      </c>
    </row>
    <row r="63" spans="1:7" x14ac:dyDescent="0.2">
      <c r="A63" s="5">
        <v>46023</v>
      </c>
      <c r="B63" t="s">
        <v>134</v>
      </c>
      <c r="C63" t="s">
        <v>97</v>
      </c>
      <c r="D63" t="s">
        <v>87</v>
      </c>
      <c r="F63" s="6">
        <v>3465</v>
      </c>
      <c r="G63" t="s">
        <v>137</v>
      </c>
    </row>
    <row r="64" spans="1:7" x14ac:dyDescent="0.2">
      <c r="A64" s="5">
        <v>46023</v>
      </c>
      <c r="B64" t="s">
        <v>134</v>
      </c>
      <c r="C64" t="s">
        <v>97</v>
      </c>
      <c r="D64" t="s">
        <v>91</v>
      </c>
      <c r="F64" s="6">
        <v>2310</v>
      </c>
      <c r="G64" t="s">
        <v>137</v>
      </c>
    </row>
    <row r="65" spans="1:7" x14ac:dyDescent="0.2">
      <c r="A65" s="5">
        <v>46023</v>
      </c>
      <c r="B65" t="s">
        <v>134</v>
      </c>
      <c r="C65" t="s">
        <v>102</v>
      </c>
      <c r="D65" t="s">
        <v>67</v>
      </c>
      <c r="F65" s="6">
        <v>52500</v>
      </c>
      <c r="G65" t="s">
        <v>137</v>
      </c>
    </row>
    <row r="66" spans="1:7" x14ac:dyDescent="0.2">
      <c r="A66" s="5">
        <v>46023</v>
      </c>
      <c r="B66" t="s">
        <v>134</v>
      </c>
      <c r="C66" t="s">
        <v>102</v>
      </c>
      <c r="D66" t="s">
        <v>71</v>
      </c>
      <c r="F66" s="6">
        <v>11550</v>
      </c>
      <c r="G66" t="s">
        <v>137</v>
      </c>
    </row>
    <row r="67" spans="1:7" x14ac:dyDescent="0.2">
      <c r="A67" s="5">
        <v>46023</v>
      </c>
      <c r="B67" t="s">
        <v>134</v>
      </c>
      <c r="C67" t="s">
        <v>102</v>
      </c>
      <c r="D67" t="s">
        <v>75</v>
      </c>
      <c r="F67" s="6">
        <v>5250</v>
      </c>
      <c r="G67" t="s">
        <v>137</v>
      </c>
    </row>
    <row r="68" spans="1:7" x14ac:dyDescent="0.2">
      <c r="A68" s="5">
        <v>46023</v>
      </c>
      <c r="B68" t="s">
        <v>134</v>
      </c>
      <c r="C68" t="s">
        <v>102</v>
      </c>
      <c r="D68" t="s">
        <v>76</v>
      </c>
      <c r="F68" s="6">
        <v>3150</v>
      </c>
      <c r="G68" t="s">
        <v>137</v>
      </c>
    </row>
    <row r="69" spans="1:7" x14ac:dyDescent="0.2">
      <c r="A69" s="5">
        <v>46023</v>
      </c>
      <c r="B69" t="s">
        <v>134</v>
      </c>
      <c r="C69" t="s">
        <v>102</v>
      </c>
      <c r="D69" t="s">
        <v>79</v>
      </c>
      <c r="F69" s="6">
        <v>4200</v>
      </c>
      <c r="G69" t="s">
        <v>137</v>
      </c>
    </row>
    <row r="70" spans="1:7" x14ac:dyDescent="0.2">
      <c r="A70" s="5">
        <v>46023</v>
      </c>
      <c r="B70" t="s">
        <v>134</v>
      </c>
      <c r="C70" t="s">
        <v>102</v>
      </c>
      <c r="D70" t="s">
        <v>81</v>
      </c>
      <c r="F70" s="6">
        <v>70875</v>
      </c>
      <c r="G70" t="s">
        <v>137</v>
      </c>
    </row>
    <row r="71" spans="1:7" x14ac:dyDescent="0.2">
      <c r="A71" s="5">
        <v>46023</v>
      </c>
      <c r="B71" t="s">
        <v>134</v>
      </c>
      <c r="C71" t="s">
        <v>102</v>
      </c>
      <c r="D71" t="s">
        <v>87</v>
      </c>
      <c r="F71" s="6">
        <v>1575</v>
      </c>
      <c r="G71" t="s">
        <v>137</v>
      </c>
    </row>
    <row r="72" spans="1:7" x14ac:dyDescent="0.2">
      <c r="A72" s="5">
        <v>46023</v>
      </c>
      <c r="B72" t="s">
        <v>134</v>
      </c>
      <c r="C72" t="s">
        <v>102</v>
      </c>
      <c r="D72" t="s">
        <v>91</v>
      </c>
      <c r="F72" s="6">
        <v>1050</v>
      </c>
      <c r="G72" t="s">
        <v>137</v>
      </c>
    </row>
    <row r="73" spans="1:7" x14ac:dyDescent="0.2">
      <c r="A73" s="5">
        <v>46023</v>
      </c>
      <c r="B73" t="s">
        <v>134</v>
      </c>
      <c r="C73" t="s">
        <v>106</v>
      </c>
      <c r="D73" t="s">
        <v>65</v>
      </c>
      <c r="F73" s="6">
        <v>23800</v>
      </c>
      <c r="G73" t="s">
        <v>137</v>
      </c>
    </row>
    <row r="74" spans="1:7" x14ac:dyDescent="0.2">
      <c r="A74" s="5">
        <v>46023</v>
      </c>
      <c r="B74" t="s">
        <v>134</v>
      </c>
      <c r="C74" t="s">
        <v>106</v>
      </c>
      <c r="D74" t="s">
        <v>67</v>
      </c>
      <c r="F74" s="6">
        <v>59500</v>
      </c>
      <c r="G74" t="s">
        <v>137</v>
      </c>
    </row>
    <row r="75" spans="1:7" x14ac:dyDescent="0.2">
      <c r="A75" s="5">
        <v>46023</v>
      </c>
      <c r="B75" t="s">
        <v>134</v>
      </c>
      <c r="C75" t="s">
        <v>106</v>
      </c>
      <c r="D75" t="s">
        <v>71</v>
      </c>
      <c r="F75" s="6">
        <v>13090</v>
      </c>
      <c r="G75" t="s">
        <v>137</v>
      </c>
    </row>
    <row r="76" spans="1:7" x14ac:dyDescent="0.2">
      <c r="A76" s="5">
        <v>46023</v>
      </c>
      <c r="B76" t="s">
        <v>134</v>
      </c>
      <c r="C76" t="s">
        <v>106</v>
      </c>
      <c r="D76" t="s">
        <v>75</v>
      </c>
      <c r="F76" s="6">
        <v>5950</v>
      </c>
      <c r="G76" t="s">
        <v>137</v>
      </c>
    </row>
    <row r="77" spans="1:7" x14ac:dyDescent="0.2">
      <c r="A77" s="5">
        <v>46023</v>
      </c>
      <c r="B77" t="s">
        <v>134</v>
      </c>
      <c r="C77" t="s">
        <v>106</v>
      </c>
      <c r="D77" t="s">
        <v>76</v>
      </c>
      <c r="F77" s="6">
        <v>3570</v>
      </c>
      <c r="G77" t="s">
        <v>137</v>
      </c>
    </row>
    <row r="78" spans="1:7" x14ac:dyDescent="0.2">
      <c r="A78" s="5">
        <v>46023</v>
      </c>
      <c r="B78" t="s">
        <v>134</v>
      </c>
      <c r="C78" t="s">
        <v>106</v>
      </c>
      <c r="D78" t="s">
        <v>79</v>
      </c>
      <c r="F78" s="6">
        <v>2380</v>
      </c>
      <c r="G78" t="s">
        <v>137</v>
      </c>
    </row>
    <row r="79" spans="1:7" x14ac:dyDescent="0.2">
      <c r="A79" s="5">
        <v>46023</v>
      </c>
      <c r="B79" t="s">
        <v>134</v>
      </c>
      <c r="C79" t="s">
        <v>106</v>
      </c>
      <c r="D79" t="s">
        <v>87</v>
      </c>
      <c r="F79" s="6">
        <v>1785</v>
      </c>
      <c r="G79" t="s">
        <v>137</v>
      </c>
    </row>
    <row r="80" spans="1:7" x14ac:dyDescent="0.2">
      <c r="A80" s="5">
        <v>46023</v>
      </c>
      <c r="B80" t="s">
        <v>134</v>
      </c>
      <c r="C80" t="s">
        <v>106</v>
      </c>
      <c r="D80" t="s">
        <v>91</v>
      </c>
      <c r="F80" s="6">
        <v>1190</v>
      </c>
      <c r="G80" t="s">
        <v>137</v>
      </c>
    </row>
    <row r="81" spans="1:7" x14ac:dyDescent="0.2">
      <c r="A81" s="5">
        <v>46023</v>
      </c>
      <c r="B81" t="s">
        <v>134</v>
      </c>
      <c r="C81" t="s">
        <v>110</v>
      </c>
      <c r="D81" t="s">
        <v>61</v>
      </c>
      <c r="F81" s="6">
        <v>182000</v>
      </c>
      <c r="G81" t="s">
        <v>137</v>
      </c>
    </row>
    <row r="82" spans="1:7" x14ac:dyDescent="0.2">
      <c r="A82" s="5">
        <v>46023</v>
      </c>
      <c r="B82" t="s">
        <v>134</v>
      </c>
      <c r="C82" t="s">
        <v>110</v>
      </c>
      <c r="D82" t="s">
        <v>67</v>
      </c>
      <c r="F82" s="6">
        <v>182000</v>
      </c>
      <c r="G82" t="s">
        <v>137</v>
      </c>
    </row>
    <row r="83" spans="1:7" x14ac:dyDescent="0.2">
      <c r="A83" s="5">
        <v>46023</v>
      </c>
      <c r="B83" t="s">
        <v>134</v>
      </c>
      <c r="C83" t="s">
        <v>110</v>
      </c>
      <c r="D83" t="s">
        <v>71</v>
      </c>
      <c r="F83" s="6">
        <v>40040</v>
      </c>
      <c r="G83" t="s">
        <v>137</v>
      </c>
    </row>
    <row r="84" spans="1:7" x14ac:dyDescent="0.2">
      <c r="A84" s="5">
        <v>46023</v>
      </c>
      <c r="B84" t="s">
        <v>134</v>
      </c>
      <c r="C84" t="s">
        <v>110</v>
      </c>
      <c r="D84" t="s">
        <v>75</v>
      </c>
      <c r="F84" s="6">
        <v>18200</v>
      </c>
      <c r="G84" t="s">
        <v>137</v>
      </c>
    </row>
    <row r="85" spans="1:7" x14ac:dyDescent="0.2">
      <c r="A85" s="5">
        <v>46023</v>
      </c>
      <c r="B85" t="s">
        <v>134</v>
      </c>
      <c r="C85" t="s">
        <v>110</v>
      </c>
      <c r="D85" t="s">
        <v>76</v>
      </c>
      <c r="F85" s="6">
        <v>10920</v>
      </c>
      <c r="G85" t="s">
        <v>137</v>
      </c>
    </row>
    <row r="86" spans="1:7" x14ac:dyDescent="0.2">
      <c r="A86" s="5">
        <v>46023</v>
      </c>
      <c r="B86" t="s">
        <v>134</v>
      </c>
      <c r="C86" t="s">
        <v>110</v>
      </c>
      <c r="D86" t="s">
        <v>79</v>
      </c>
      <c r="F86" s="6">
        <v>7280</v>
      </c>
      <c r="G86" t="s">
        <v>137</v>
      </c>
    </row>
    <row r="87" spans="1:7" x14ac:dyDescent="0.2">
      <c r="A87" s="5">
        <v>46023</v>
      </c>
      <c r="B87" t="s">
        <v>134</v>
      </c>
      <c r="C87" t="s">
        <v>110</v>
      </c>
      <c r="D87" t="s">
        <v>87</v>
      </c>
      <c r="F87" s="6">
        <v>5460</v>
      </c>
      <c r="G87" t="s">
        <v>137</v>
      </c>
    </row>
    <row r="88" spans="1:7" x14ac:dyDescent="0.2">
      <c r="A88" s="5">
        <v>46023</v>
      </c>
      <c r="B88" t="s">
        <v>134</v>
      </c>
      <c r="C88" t="s">
        <v>110</v>
      </c>
      <c r="D88" t="s">
        <v>89</v>
      </c>
      <c r="F88" s="6">
        <v>30940</v>
      </c>
      <c r="G88" t="s">
        <v>137</v>
      </c>
    </row>
    <row r="89" spans="1:7" x14ac:dyDescent="0.2">
      <c r="A89" s="5">
        <v>46023</v>
      </c>
      <c r="B89" t="s">
        <v>134</v>
      </c>
      <c r="C89" t="s">
        <v>110</v>
      </c>
      <c r="D89" t="s">
        <v>91</v>
      </c>
      <c r="F89" s="6">
        <v>3640</v>
      </c>
      <c r="G89" t="s">
        <v>137</v>
      </c>
    </row>
    <row r="90" spans="1:7" x14ac:dyDescent="0.2">
      <c r="A90" s="5">
        <v>46023</v>
      </c>
      <c r="B90" t="s">
        <v>134</v>
      </c>
      <c r="C90" t="s">
        <v>114</v>
      </c>
      <c r="D90" t="s">
        <v>67</v>
      </c>
      <c r="F90" s="6">
        <v>49000</v>
      </c>
      <c r="G90" t="s">
        <v>137</v>
      </c>
    </row>
    <row r="91" spans="1:7" x14ac:dyDescent="0.2">
      <c r="A91" s="5">
        <v>46023</v>
      </c>
      <c r="B91" t="s">
        <v>134</v>
      </c>
      <c r="C91" t="s">
        <v>114</v>
      </c>
      <c r="D91" t="s">
        <v>71</v>
      </c>
      <c r="F91" s="6">
        <v>10780</v>
      </c>
      <c r="G91" t="s">
        <v>137</v>
      </c>
    </row>
    <row r="92" spans="1:7" x14ac:dyDescent="0.2">
      <c r="A92" s="5">
        <v>46023</v>
      </c>
      <c r="B92" t="s">
        <v>134</v>
      </c>
      <c r="C92" t="s">
        <v>114</v>
      </c>
      <c r="D92" t="s">
        <v>75</v>
      </c>
      <c r="F92" s="6">
        <v>4900</v>
      </c>
      <c r="G92" t="s">
        <v>137</v>
      </c>
    </row>
    <row r="93" spans="1:7" x14ac:dyDescent="0.2">
      <c r="A93" s="5">
        <v>46023</v>
      </c>
      <c r="B93" t="s">
        <v>134</v>
      </c>
      <c r="C93" t="s">
        <v>114</v>
      </c>
      <c r="D93" t="s">
        <v>76</v>
      </c>
      <c r="F93" s="6">
        <v>2940</v>
      </c>
      <c r="G93" t="s">
        <v>137</v>
      </c>
    </row>
    <row r="94" spans="1:7" x14ac:dyDescent="0.2">
      <c r="A94" s="5">
        <v>46023</v>
      </c>
      <c r="B94" t="s">
        <v>134</v>
      </c>
      <c r="C94" t="s">
        <v>114</v>
      </c>
      <c r="D94" t="s">
        <v>79</v>
      </c>
      <c r="F94" s="6">
        <v>1960</v>
      </c>
      <c r="G94" t="s">
        <v>137</v>
      </c>
    </row>
    <row r="95" spans="1:7" x14ac:dyDescent="0.2">
      <c r="A95" s="5">
        <v>46023</v>
      </c>
      <c r="B95" t="s">
        <v>134</v>
      </c>
      <c r="C95" t="s">
        <v>114</v>
      </c>
      <c r="D95" t="s">
        <v>87</v>
      </c>
      <c r="F95" s="6">
        <v>1470</v>
      </c>
      <c r="G95" t="s">
        <v>137</v>
      </c>
    </row>
    <row r="96" spans="1:7" x14ac:dyDescent="0.2">
      <c r="A96" s="5">
        <v>46023</v>
      </c>
      <c r="B96" t="s">
        <v>134</v>
      </c>
      <c r="C96" t="s">
        <v>114</v>
      </c>
      <c r="D96" t="s">
        <v>91</v>
      </c>
      <c r="F96" s="6">
        <v>980</v>
      </c>
      <c r="G96" t="s">
        <v>137</v>
      </c>
    </row>
    <row r="97" spans="1:7" x14ac:dyDescent="0.2">
      <c r="A97" s="5">
        <v>46023</v>
      </c>
      <c r="B97" t="s">
        <v>134</v>
      </c>
      <c r="C97" t="s">
        <v>118</v>
      </c>
      <c r="D97" t="s">
        <v>67</v>
      </c>
      <c r="F97" s="6">
        <v>77000</v>
      </c>
      <c r="G97" t="s">
        <v>137</v>
      </c>
    </row>
    <row r="98" spans="1:7" x14ac:dyDescent="0.2">
      <c r="A98" s="5">
        <v>46023</v>
      </c>
      <c r="B98" t="s">
        <v>134</v>
      </c>
      <c r="C98" t="s">
        <v>118</v>
      </c>
      <c r="D98" t="s">
        <v>71</v>
      </c>
      <c r="F98" s="6">
        <v>16940</v>
      </c>
      <c r="G98" t="s">
        <v>137</v>
      </c>
    </row>
    <row r="99" spans="1:7" x14ac:dyDescent="0.2">
      <c r="A99" s="5">
        <v>46023</v>
      </c>
      <c r="B99" t="s">
        <v>134</v>
      </c>
      <c r="C99" t="s">
        <v>118</v>
      </c>
      <c r="D99" t="s">
        <v>75</v>
      </c>
      <c r="F99" s="6">
        <v>7700</v>
      </c>
      <c r="G99" t="s">
        <v>137</v>
      </c>
    </row>
    <row r="100" spans="1:7" x14ac:dyDescent="0.2">
      <c r="A100" s="5">
        <v>46023</v>
      </c>
      <c r="B100" t="s">
        <v>134</v>
      </c>
      <c r="C100" t="s">
        <v>118</v>
      </c>
      <c r="D100" t="s">
        <v>76</v>
      </c>
      <c r="F100" s="6">
        <v>4620</v>
      </c>
      <c r="G100" t="s">
        <v>137</v>
      </c>
    </row>
    <row r="101" spans="1:7" x14ac:dyDescent="0.2">
      <c r="A101" s="5">
        <v>46023</v>
      </c>
      <c r="B101" t="s">
        <v>134</v>
      </c>
      <c r="C101" t="s">
        <v>118</v>
      </c>
      <c r="D101" t="s">
        <v>79</v>
      </c>
      <c r="F101" s="6">
        <v>3080</v>
      </c>
      <c r="G101" t="s">
        <v>137</v>
      </c>
    </row>
    <row r="102" spans="1:7" x14ac:dyDescent="0.2">
      <c r="A102" s="5">
        <v>46023</v>
      </c>
      <c r="B102" t="s">
        <v>134</v>
      </c>
      <c r="C102" t="s">
        <v>118</v>
      </c>
      <c r="D102" t="s">
        <v>83</v>
      </c>
      <c r="F102" s="6">
        <v>44660</v>
      </c>
      <c r="G102" t="s">
        <v>137</v>
      </c>
    </row>
    <row r="103" spans="1:7" x14ac:dyDescent="0.2">
      <c r="A103" s="5">
        <v>46023</v>
      </c>
      <c r="B103" t="s">
        <v>134</v>
      </c>
      <c r="C103" t="s">
        <v>118</v>
      </c>
      <c r="D103" t="s">
        <v>85</v>
      </c>
      <c r="F103" s="6">
        <v>24640</v>
      </c>
      <c r="G103" t="s">
        <v>137</v>
      </c>
    </row>
    <row r="104" spans="1:7" x14ac:dyDescent="0.2">
      <c r="A104" s="5">
        <v>46023</v>
      </c>
      <c r="B104" t="s">
        <v>134</v>
      </c>
      <c r="C104" t="s">
        <v>118</v>
      </c>
      <c r="D104" t="s">
        <v>87</v>
      </c>
      <c r="F104" s="6">
        <v>2310</v>
      </c>
      <c r="G104" t="s">
        <v>137</v>
      </c>
    </row>
    <row r="105" spans="1:7" x14ac:dyDescent="0.2">
      <c r="A105" s="5">
        <v>46023</v>
      </c>
      <c r="B105" t="s">
        <v>134</v>
      </c>
      <c r="C105" t="s">
        <v>118</v>
      </c>
      <c r="D105" t="s">
        <v>91</v>
      </c>
      <c r="F105" s="6">
        <v>1540</v>
      </c>
      <c r="G105" t="s">
        <v>137</v>
      </c>
    </row>
    <row r="106" spans="1:7" x14ac:dyDescent="0.2">
      <c r="A106" s="5">
        <v>46054</v>
      </c>
      <c r="B106" t="s">
        <v>129</v>
      </c>
      <c r="C106" t="s">
        <v>122</v>
      </c>
      <c r="D106" t="s">
        <v>54</v>
      </c>
      <c r="E106" t="s">
        <v>130</v>
      </c>
      <c r="F106" s="6">
        <v>1723800</v>
      </c>
      <c r="G106" t="s">
        <v>137</v>
      </c>
    </row>
    <row r="107" spans="1:7" x14ac:dyDescent="0.2">
      <c r="A107" s="5">
        <v>46054</v>
      </c>
      <c r="B107" t="s">
        <v>129</v>
      </c>
      <c r="C107" t="s">
        <v>122</v>
      </c>
      <c r="D107" t="s">
        <v>54</v>
      </c>
      <c r="E107" t="s">
        <v>132</v>
      </c>
      <c r="F107" s="6">
        <v>928200</v>
      </c>
      <c r="G107" t="s">
        <v>137</v>
      </c>
    </row>
    <row r="108" spans="1:7" x14ac:dyDescent="0.2">
      <c r="A108" s="5">
        <v>46054</v>
      </c>
      <c r="B108" t="s">
        <v>129</v>
      </c>
      <c r="C108" t="s">
        <v>122</v>
      </c>
      <c r="D108" t="s">
        <v>58</v>
      </c>
      <c r="E108" t="s">
        <v>133</v>
      </c>
      <c r="F108" s="6">
        <v>265200</v>
      </c>
      <c r="G108" t="s">
        <v>137</v>
      </c>
    </row>
    <row r="109" spans="1:7" x14ac:dyDescent="0.2">
      <c r="A109" s="5">
        <v>46054</v>
      </c>
      <c r="B109" t="s">
        <v>129</v>
      </c>
      <c r="C109" t="s">
        <v>97</v>
      </c>
      <c r="D109" t="s">
        <v>67</v>
      </c>
      <c r="F109" s="6">
        <v>333300</v>
      </c>
      <c r="G109" t="s">
        <v>137</v>
      </c>
    </row>
    <row r="110" spans="1:7" x14ac:dyDescent="0.2">
      <c r="A110" s="5">
        <v>46054</v>
      </c>
      <c r="B110" t="s">
        <v>129</v>
      </c>
      <c r="C110" t="s">
        <v>97</v>
      </c>
      <c r="D110" t="s">
        <v>71</v>
      </c>
      <c r="F110" s="6">
        <v>73326</v>
      </c>
      <c r="G110" t="s">
        <v>137</v>
      </c>
    </row>
    <row r="111" spans="1:7" x14ac:dyDescent="0.2">
      <c r="A111" s="5">
        <v>46054</v>
      </c>
      <c r="B111" t="s">
        <v>129</v>
      </c>
      <c r="C111" t="s">
        <v>97</v>
      </c>
      <c r="D111" t="s">
        <v>73</v>
      </c>
      <c r="F111" s="6">
        <v>116655</v>
      </c>
      <c r="G111" t="s">
        <v>137</v>
      </c>
    </row>
    <row r="112" spans="1:7" x14ac:dyDescent="0.2">
      <c r="A112" s="5">
        <v>46054</v>
      </c>
      <c r="B112" t="s">
        <v>129</v>
      </c>
      <c r="C112" t="s">
        <v>97</v>
      </c>
      <c r="D112" t="s">
        <v>75</v>
      </c>
      <c r="F112" s="6">
        <v>33330</v>
      </c>
      <c r="G112" t="s">
        <v>137</v>
      </c>
    </row>
    <row r="113" spans="1:7" x14ac:dyDescent="0.2">
      <c r="A113" s="5">
        <v>46054</v>
      </c>
      <c r="B113" t="s">
        <v>129</v>
      </c>
      <c r="C113" t="s">
        <v>97</v>
      </c>
      <c r="D113" t="s">
        <v>76</v>
      </c>
      <c r="F113" s="6">
        <v>19998</v>
      </c>
      <c r="G113" t="s">
        <v>137</v>
      </c>
    </row>
    <row r="114" spans="1:7" x14ac:dyDescent="0.2">
      <c r="A114" s="5">
        <v>46054</v>
      </c>
      <c r="B114" t="s">
        <v>129</v>
      </c>
      <c r="C114" t="s">
        <v>97</v>
      </c>
      <c r="D114" t="s">
        <v>79</v>
      </c>
      <c r="F114" s="6">
        <v>26664</v>
      </c>
      <c r="G114" t="s">
        <v>137</v>
      </c>
    </row>
    <row r="115" spans="1:7" x14ac:dyDescent="0.2">
      <c r="A115" s="5">
        <v>46054</v>
      </c>
      <c r="B115" t="s">
        <v>129</v>
      </c>
      <c r="C115" t="s">
        <v>97</v>
      </c>
      <c r="D115" t="s">
        <v>87</v>
      </c>
      <c r="F115" s="6">
        <v>9999</v>
      </c>
      <c r="G115" t="s">
        <v>137</v>
      </c>
    </row>
    <row r="116" spans="1:7" x14ac:dyDescent="0.2">
      <c r="A116" s="5">
        <v>46054</v>
      </c>
      <c r="B116" t="s">
        <v>129</v>
      </c>
      <c r="C116" t="s">
        <v>97</v>
      </c>
      <c r="D116" t="s">
        <v>91</v>
      </c>
      <c r="F116" s="6">
        <v>6666</v>
      </c>
      <c r="G116" t="s">
        <v>137</v>
      </c>
    </row>
    <row r="117" spans="1:7" x14ac:dyDescent="0.2">
      <c r="A117" s="5">
        <v>46054</v>
      </c>
      <c r="B117" t="s">
        <v>129</v>
      </c>
      <c r="C117" t="s">
        <v>102</v>
      </c>
      <c r="D117" t="s">
        <v>67</v>
      </c>
      <c r="F117" s="6">
        <v>151500</v>
      </c>
      <c r="G117" t="s">
        <v>137</v>
      </c>
    </row>
    <row r="118" spans="1:7" x14ac:dyDescent="0.2">
      <c r="A118" s="5">
        <v>46054</v>
      </c>
      <c r="B118" t="s">
        <v>129</v>
      </c>
      <c r="C118" t="s">
        <v>102</v>
      </c>
      <c r="D118" t="s">
        <v>71</v>
      </c>
      <c r="F118" s="6">
        <v>33330</v>
      </c>
      <c r="G118" t="s">
        <v>137</v>
      </c>
    </row>
    <row r="119" spans="1:7" x14ac:dyDescent="0.2">
      <c r="A119" s="5">
        <v>46054</v>
      </c>
      <c r="B119" t="s">
        <v>129</v>
      </c>
      <c r="C119" t="s">
        <v>102</v>
      </c>
      <c r="D119" t="s">
        <v>75</v>
      </c>
      <c r="F119" s="6">
        <v>15150</v>
      </c>
      <c r="G119" t="s">
        <v>137</v>
      </c>
    </row>
    <row r="120" spans="1:7" x14ac:dyDescent="0.2">
      <c r="A120" s="5">
        <v>46054</v>
      </c>
      <c r="B120" t="s">
        <v>129</v>
      </c>
      <c r="C120" t="s">
        <v>102</v>
      </c>
      <c r="D120" t="s">
        <v>76</v>
      </c>
      <c r="F120" s="6">
        <v>9090</v>
      </c>
      <c r="G120" t="s">
        <v>137</v>
      </c>
    </row>
    <row r="121" spans="1:7" x14ac:dyDescent="0.2">
      <c r="A121" s="5">
        <v>46054</v>
      </c>
      <c r="B121" t="s">
        <v>129</v>
      </c>
      <c r="C121" t="s">
        <v>102</v>
      </c>
      <c r="D121" t="s">
        <v>79</v>
      </c>
      <c r="F121" s="6">
        <v>12120</v>
      </c>
      <c r="G121" t="s">
        <v>137</v>
      </c>
    </row>
    <row r="122" spans="1:7" x14ac:dyDescent="0.2">
      <c r="A122" s="5">
        <v>46054</v>
      </c>
      <c r="B122" t="s">
        <v>129</v>
      </c>
      <c r="C122" t="s">
        <v>102</v>
      </c>
      <c r="D122" t="s">
        <v>81</v>
      </c>
      <c r="F122" s="6">
        <v>204525</v>
      </c>
      <c r="G122" t="s">
        <v>137</v>
      </c>
    </row>
    <row r="123" spans="1:7" x14ac:dyDescent="0.2">
      <c r="A123" s="5">
        <v>46054</v>
      </c>
      <c r="B123" t="s">
        <v>129</v>
      </c>
      <c r="C123" t="s">
        <v>102</v>
      </c>
      <c r="D123" t="s">
        <v>87</v>
      </c>
      <c r="F123" s="6">
        <v>4545</v>
      </c>
      <c r="G123" t="s">
        <v>137</v>
      </c>
    </row>
    <row r="124" spans="1:7" x14ac:dyDescent="0.2">
      <c r="A124" s="5">
        <v>46054</v>
      </c>
      <c r="B124" t="s">
        <v>129</v>
      </c>
      <c r="C124" t="s">
        <v>102</v>
      </c>
      <c r="D124" t="s">
        <v>91</v>
      </c>
      <c r="F124" s="6">
        <v>3030</v>
      </c>
      <c r="G124" t="s">
        <v>137</v>
      </c>
    </row>
    <row r="125" spans="1:7" x14ac:dyDescent="0.2">
      <c r="A125" s="5">
        <v>46054</v>
      </c>
      <c r="B125" t="s">
        <v>129</v>
      </c>
      <c r="C125" t="s">
        <v>106</v>
      </c>
      <c r="D125" t="s">
        <v>65</v>
      </c>
      <c r="F125" s="6">
        <v>68680</v>
      </c>
      <c r="G125" t="s">
        <v>137</v>
      </c>
    </row>
    <row r="126" spans="1:7" x14ac:dyDescent="0.2">
      <c r="A126" s="5">
        <v>46054</v>
      </c>
      <c r="B126" t="s">
        <v>129</v>
      </c>
      <c r="C126" t="s">
        <v>106</v>
      </c>
      <c r="D126" t="s">
        <v>67</v>
      </c>
      <c r="F126" s="6">
        <v>171700</v>
      </c>
      <c r="G126" t="s">
        <v>137</v>
      </c>
    </row>
    <row r="127" spans="1:7" x14ac:dyDescent="0.2">
      <c r="A127" s="5">
        <v>46054</v>
      </c>
      <c r="B127" t="s">
        <v>129</v>
      </c>
      <c r="C127" t="s">
        <v>106</v>
      </c>
      <c r="D127" t="s">
        <v>71</v>
      </c>
      <c r="F127" s="6">
        <v>37774</v>
      </c>
      <c r="G127" t="s">
        <v>137</v>
      </c>
    </row>
    <row r="128" spans="1:7" x14ac:dyDescent="0.2">
      <c r="A128" s="5">
        <v>46054</v>
      </c>
      <c r="B128" t="s">
        <v>129</v>
      </c>
      <c r="C128" t="s">
        <v>106</v>
      </c>
      <c r="D128" t="s">
        <v>75</v>
      </c>
      <c r="F128" s="6">
        <v>17170</v>
      </c>
      <c r="G128" t="s">
        <v>137</v>
      </c>
    </row>
    <row r="129" spans="1:7" x14ac:dyDescent="0.2">
      <c r="A129" s="5">
        <v>46054</v>
      </c>
      <c r="B129" t="s">
        <v>129</v>
      </c>
      <c r="C129" t="s">
        <v>106</v>
      </c>
      <c r="D129" t="s">
        <v>76</v>
      </c>
      <c r="F129" s="6">
        <v>10302</v>
      </c>
      <c r="G129" t="s">
        <v>137</v>
      </c>
    </row>
    <row r="130" spans="1:7" x14ac:dyDescent="0.2">
      <c r="A130" s="5">
        <v>46054</v>
      </c>
      <c r="B130" t="s">
        <v>129</v>
      </c>
      <c r="C130" t="s">
        <v>106</v>
      </c>
      <c r="D130" t="s">
        <v>79</v>
      </c>
      <c r="F130" s="6">
        <v>6868</v>
      </c>
      <c r="G130" t="s">
        <v>137</v>
      </c>
    </row>
    <row r="131" spans="1:7" x14ac:dyDescent="0.2">
      <c r="A131" s="5">
        <v>46054</v>
      </c>
      <c r="B131" t="s">
        <v>129</v>
      </c>
      <c r="C131" t="s">
        <v>106</v>
      </c>
      <c r="D131" t="s">
        <v>87</v>
      </c>
      <c r="F131" s="6">
        <v>5151</v>
      </c>
      <c r="G131" t="s">
        <v>137</v>
      </c>
    </row>
    <row r="132" spans="1:7" x14ac:dyDescent="0.2">
      <c r="A132" s="5">
        <v>46054</v>
      </c>
      <c r="B132" t="s">
        <v>129</v>
      </c>
      <c r="C132" t="s">
        <v>106</v>
      </c>
      <c r="D132" t="s">
        <v>91</v>
      </c>
      <c r="F132" s="6">
        <v>3434</v>
      </c>
      <c r="G132" t="s">
        <v>137</v>
      </c>
    </row>
    <row r="133" spans="1:7" x14ac:dyDescent="0.2">
      <c r="A133" s="5">
        <v>46054</v>
      </c>
      <c r="B133" t="s">
        <v>129</v>
      </c>
      <c r="C133" t="s">
        <v>110</v>
      </c>
      <c r="D133" t="s">
        <v>61</v>
      </c>
      <c r="F133" s="6">
        <v>525200</v>
      </c>
      <c r="G133" t="s">
        <v>137</v>
      </c>
    </row>
    <row r="134" spans="1:7" x14ac:dyDescent="0.2">
      <c r="A134" s="5">
        <v>46054</v>
      </c>
      <c r="B134" t="s">
        <v>129</v>
      </c>
      <c r="C134" t="s">
        <v>110</v>
      </c>
      <c r="D134" t="s">
        <v>67</v>
      </c>
      <c r="F134" s="6">
        <v>525200</v>
      </c>
      <c r="G134" t="s">
        <v>137</v>
      </c>
    </row>
    <row r="135" spans="1:7" x14ac:dyDescent="0.2">
      <c r="A135" s="5">
        <v>46054</v>
      </c>
      <c r="B135" t="s">
        <v>129</v>
      </c>
      <c r="C135" t="s">
        <v>110</v>
      </c>
      <c r="D135" t="s">
        <v>71</v>
      </c>
      <c r="F135" s="6">
        <v>115544</v>
      </c>
      <c r="G135" t="s">
        <v>137</v>
      </c>
    </row>
    <row r="136" spans="1:7" x14ac:dyDescent="0.2">
      <c r="A136" s="5">
        <v>46054</v>
      </c>
      <c r="B136" t="s">
        <v>129</v>
      </c>
      <c r="C136" t="s">
        <v>110</v>
      </c>
      <c r="D136" t="s">
        <v>75</v>
      </c>
      <c r="F136" s="6">
        <v>52520</v>
      </c>
      <c r="G136" t="s">
        <v>137</v>
      </c>
    </row>
    <row r="137" spans="1:7" x14ac:dyDescent="0.2">
      <c r="A137" s="5">
        <v>46054</v>
      </c>
      <c r="B137" t="s">
        <v>129</v>
      </c>
      <c r="C137" t="s">
        <v>110</v>
      </c>
      <c r="D137" t="s">
        <v>76</v>
      </c>
      <c r="F137" s="6">
        <v>31512</v>
      </c>
      <c r="G137" t="s">
        <v>137</v>
      </c>
    </row>
    <row r="138" spans="1:7" x14ac:dyDescent="0.2">
      <c r="A138" s="5">
        <v>46054</v>
      </c>
      <c r="B138" t="s">
        <v>129</v>
      </c>
      <c r="C138" t="s">
        <v>110</v>
      </c>
      <c r="D138" t="s">
        <v>79</v>
      </c>
      <c r="F138" s="6">
        <v>21008</v>
      </c>
      <c r="G138" t="s">
        <v>137</v>
      </c>
    </row>
    <row r="139" spans="1:7" x14ac:dyDescent="0.2">
      <c r="A139" s="5">
        <v>46054</v>
      </c>
      <c r="B139" t="s">
        <v>129</v>
      </c>
      <c r="C139" t="s">
        <v>110</v>
      </c>
      <c r="D139" t="s">
        <v>87</v>
      </c>
      <c r="F139" s="6">
        <v>15756</v>
      </c>
      <c r="G139" t="s">
        <v>137</v>
      </c>
    </row>
    <row r="140" spans="1:7" x14ac:dyDescent="0.2">
      <c r="A140" s="5">
        <v>46054</v>
      </c>
      <c r="B140" t="s">
        <v>129</v>
      </c>
      <c r="C140" t="s">
        <v>110</v>
      </c>
      <c r="D140" t="s">
        <v>89</v>
      </c>
      <c r="F140" s="6">
        <v>89284</v>
      </c>
      <c r="G140" t="s">
        <v>137</v>
      </c>
    </row>
    <row r="141" spans="1:7" x14ac:dyDescent="0.2">
      <c r="A141" s="5">
        <v>46054</v>
      </c>
      <c r="B141" t="s">
        <v>129</v>
      </c>
      <c r="C141" t="s">
        <v>110</v>
      </c>
      <c r="D141" t="s">
        <v>91</v>
      </c>
      <c r="F141" s="6">
        <v>10504</v>
      </c>
      <c r="G141" t="s">
        <v>137</v>
      </c>
    </row>
    <row r="142" spans="1:7" x14ac:dyDescent="0.2">
      <c r="A142" s="5">
        <v>46054</v>
      </c>
      <c r="B142" t="s">
        <v>129</v>
      </c>
      <c r="C142" t="s">
        <v>114</v>
      </c>
      <c r="D142" t="s">
        <v>67</v>
      </c>
      <c r="F142" s="6">
        <v>141400</v>
      </c>
      <c r="G142" t="s">
        <v>137</v>
      </c>
    </row>
    <row r="143" spans="1:7" x14ac:dyDescent="0.2">
      <c r="A143" s="5">
        <v>46054</v>
      </c>
      <c r="B143" t="s">
        <v>129</v>
      </c>
      <c r="C143" t="s">
        <v>114</v>
      </c>
      <c r="D143" t="s">
        <v>71</v>
      </c>
      <c r="F143" s="6">
        <v>31108</v>
      </c>
      <c r="G143" t="s">
        <v>137</v>
      </c>
    </row>
    <row r="144" spans="1:7" x14ac:dyDescent="0.2">
      <c r="A144" s="5">
        <v>46054</v>
      </c>
      <c r="B144" t="s">
        <v>129</v>
      </c>
      <c r="C144" t="s">
        <v>114</v>
      </c>
      <c r="D144" t="s">
        <v>75</v>
      </c>
      <c r="F144" s="6">
        <v>14140</v>
      </c>
      <c r="G144" t="s">
        <v>137</v>
      </c>
    </row>
    <row r="145" spans="1:7" x14ac:dyDescent="0.2">
      <c r="A145" s="5">
        <v>46054</v>
      </c>
      <c r="B145" t="s">
        <v>129</v>
      </c>
      <c r="C145" t="s">
        <v>114</v>
      </c>
      <c r="D145" t="s">
        <v>76</v>
      </c>
      <c r="F145" s="6">
        <v>8484</v>
      </c>
      <c r="G145" t="s">
        <v>137</v>
      </c>
    </row>
    <row r="146" spans="1:7" x14ac:dyDescent="0.2">
      <c r="A146" s="5">
        <v>46054</v>
      </c>
      <c r="B146" t="s">
        <v>129</v>
      </c>
      <c r="C146" t="s">
        <v>114</v>
      </c>
      <c r="D146" t="s">
        <v>79</v>
      </c>
      <c r="F146" s="6">
        <v>5656</v>
      </c>
      <c r="G146" t="s">
        <v>137</v>
      </c>
    </row>
    <row r="147" spans="1:7" x14ac:dyDescent="0.2">
      <c r="A147" s="5">
        <v>46054</v>
      </c>
      <c r="B147" t="s">
        <v>129</v>
      </c>
      <c r="C147" t="s">
        <v>114</v>
      </c>
      <c r="D147" t="s">
        <v>87</v>
      </c>
      <c r="F147" s="6">
        <v>4242</v>
      </c>
      <c r="G147" t="s">
        <v>137</v>
      </c>
    </row>
    <row r="148" spans="1:7" x14ac:dyDescent="0.2">
      <c r="A148" s="5">
        <v>46054</v>
      </c>
      <c r="B148" t="s">
        <v>129</v>
      </c>
      <c r="C148" t="s">
        <v>114</v>
      </c>
      <c r="D148" t="s">
        <v>91</v>
      </c>
      <c r="F148" s="6">
        <v>2828</v>
      </c>
      <c r="G148" t="s">
        <v>137</v>
      </c>
    </row>
    <row r="149" spans="1:7" x14ac:dyDescent="0.2">
      <c r="A149" s="5">
        <v>46054</v>
      </c>
      <c r="B149" t="s">
        <v>129</v>
      </c>
      <c r="C149" t="s">
        <v>118</v>
      </c>
      <c r="D149" t="s">
        <v>67</v>
      </c>
      <c r="F149" s="6">
        <v>222200</v>
      </c>
      <c r="G149" t="s">
        <v>137</v>
      </c>
    </row>
    <row r="150" spans="1:7" x14ac:dyDescent="0.2">
      <c r="A150" s="5">
        <v>46054</v>
      </c>
      <c r="B150" t="s">
        <v>129</v>
      </c>
      <c r="C150" t="s">
        <v>118</v>
      </c>
      <c r="D150" t="s">
        <v>71</v>
      </c>
      <c r="F150" s="6">
        <v>48884</v>
      </c>
      <c r="G150" t="s">
        <v>137</v>
      </c>
    </row>
    <row r="151" spans="1:7" x14ac:dyDescent="0.2">
      <c r="A151" s="5">
        <v>46054</v>
      </c>
      <c r="B151" t="s">
        <v>129</v>
      </c>
      <c r="C151" t="s">
        <v>118</v>
      </c>
      <c r="D151" t="s">
        <v>75</v>
      </c>
      <c r="F151" s="6">
        <v>22220</v>
      </c>
      <c r="G151" t="s">
        <v>137</v>
      </c>
    </row>
    <row r="152" spans="1:7" x14ac:dyDescent="0.2">
      <c r="A152" s="5">
        <v>46054</v>
      </c>
      <c r="B152" t="s">
        <v>129</v>
      </c>
      <c r="C152" t="s">
        <v>118</v>
      </c>
      <c r="D152" t="s">
        <v>76</v>
      </c>
      <c r="F152" s="6">
        <v>13332</v>
      </c>
      <c r="G152" t="s">
        <v>137</v>
      </c>
    </row>
    <row r="153" spans="1:7" x14ac:dyDescent="0.2">
      <c r="A153" s="5">
        <v>46054</v>
      </c>
      <c r="B153" t="s">
        <v>129</v>
      </c>
      <c r="C153" t="s">
        <v>118</v>
      </c>
      <c r="D153" t="s">
        <v>79</v>
      </c>
      <c r="F153" s="6">
        <v>8888</v>
      </c>
      <c r="G153" t="s">
        <v>137</v>
      </c>
    </row>
    <row r="154" spans="1:7" x14ac:dyDescent="0.2">
      <c r="A154" s="5">
        <v>46054</v>
      </c>
      <c r="B154" t="s">
        <v>129</v>
      </c>
      <c r="C154" t="s">
        <v>118</v>
      </c>
      <c r="D154" t="s">
        <v>83</v>
      </c>
      <c r="F154" s="6">
        <v>128876</v>
      </c>
      <c r="G154" t="s">
        <v>137</v>
      </c>
    </row>
    <row r="155" spans="1:7" x14ac:dyDescent="0.2">
      <c r="A155" s="5">
        <v>46054</v>
      </c>
      <c r="B155" t="s">
        <v>129</v>
      </c>
      <c r="C155" t="s">
        <v>118</v>
      </c>
      <c r="D155" t="s">
        <v>85</v>
      </c>
      <c r="F155" s="6">
        <v>71104</v>
      </c>
      <c r="G155" t="s">
        <v>137</v>
      </c>
    </row>
    <row r="156" spans="1:7" x14ac:dyDescent="0.2">
      <c r="A156" s="5">
        <v>46054</v>
      </c>
      <c r="B156" t="s">
        <v>129</v>
      </c>
      <c r="C156" t="s">
        <v>118</v>
      </c>
      <c r="D156" t="s">
        <v>87</v>
      </c>
      <c r="F156" s="6">
        <v>6666</v>
      </c>
      <c r="G156" t="s">
        <v>137</v>
      </c>
    </row>
    <row r="157" spans="1:7" x14ac:dyDescent="0.2">
      <c r="A157" s="5">
        <v>46054</v>
      </c>
      <c r="B157" t="s">
        <v>129</v>
      </c>
      <c r="C157" t="s">
        <v>118</v>
      </c>
      <c r="D157" t="s">
        <v>91</v>
      </c>
      <c r="F157" s="6">
        <v>4444</v>
      </c>
      <c r="G157" t="s">
        <v>137</v>
      </c>
    </row>
    <row r="158" spans="1:7" x14ac:dyDescent="0.2">
      <c r="A158" s="5">
        <v>46054</v>
      </c>
      <c r="B158" t="s">
        <v>134</v>
      </c>
      <c r="C158" t="s">
        <v>122</v>
      </c>
      <c r="D158" t="s">
        <v>54</v>
      </c>
      <c r="E158" t="s">
        <v>130</v>
      </c>
      <c r="F158" s="6">
        <v>603330</v>
      </c>
      <c r="G158" t="s">
        <v>137</v>
      </c>
    </row>
    <row r="159" spans="1:7" x14ac:dyDescent="0.2">
      <c r="A159" s="5">
        <v>46054</v>
      </c>
      <c r="B159" t="s">
        <v>134</v>
      </c>
      <c r="C159" t="s">
        <v>122</v>
      </c>
      <c r="D159" t="s">
        <v>54</v>
      </c>
      <c r="E159" t="s">
        <v>132</v>
      </c>
      <c r="F159" s="6">
        <v>324870</v>
      </c>
      <c r="G159" t="s">
        <v>137</v>
      </c>
    </row>
    <row r="160" spans="1:7" x14ac:dyDescent="0.2">
      <c r="A160" s="5">
        <v>46054</v>
      </c>
      <c r="B160" t="s">
        <v>134</v>
      </c>
      <c r="C160" t="s">
        <v>122</v>
      </c>
      <c r="D160" t="s">
        <v>58</v>
      </c>
      <c r="E160" t="s">
        <v>133</v>
      </c>
      <c r="F160" s="6">
        <v>92820</v>
      </c>
      <c r="G160" t="s">
        <v>137</v>
      </c>
    </row>
    <row r="161" spans="1:7" x14ac:dyDescent="0.2">
      <c r="A161" s="5">
        <v>46054</v>
      </c>
      <c r="B161" t="s">
        <v>134</v>
      </c>
      <c r="C161" t="s">
        <v>97</v>
      </c>
      <c r="D161" t="s">
        <v>67</v>
      </c>
      <c r="F161" s="6">
        <v>116655</v>
      </c>
      <c r="G161" t="s">
        <v>137</v>
      </c>
    </row>
    <row r="162" spans="1:7" x14ac:dyDescent="0.2">
      <c r="A162" s="5">
        <v>46054</v>
      </c>
      <c r="B162" t="s">
        <v>134</v>
      </c>
      <c r="C162" t="s">
        <v>97</v>
      </c>
      <c r="D162" t="s">
        <v>71</v>
      </c>
      <c r="F162" s="6">
        <v>25664</v>
      </c>
      <c r="G162" t="s">
        <v>137</v>
      </c>
    </row>
    <row r="163" spans="1:7" x14ac:dyDescent="0.2">
      <c r="A163" s="5">
        <v>46054</v>
      </c>
      <c r="B163" t="s">
        <v>134</v>
      </c>
      <c r="C163" t="s">
        <v>97</v>
      </c>
      <c r="D163" t="s">
        <v>73</v>
      </c>
      <c r="F163" s="6">
        <v>40829</v>
      </c>
      <c r="G163" t="s">
        <v>137</v>
      </c>
    </row>
    <row r="164" spans="1:7" x14ac:dyDescent="0.2">
      <c r="A164" s="5">
        <v>46054</v>
      </c>
      <c r="B164" t="s">
        <v>134</v>
      </c>
      <c r="C164" t="s">
        <v>97</v>
      </c>
      <c r="D164" t="s">
        <v>75</v>
      </c>
      <c r="F164" s="6">
        <v>11666</v>
      </c>
      <c r="G164" t="s">
        <v>137</v>
      </c>
    </row>
    <row r="165" spans="1:7" x14ac:dyDescent="0.2">
      <c r="A165" s="5">
        <v>46054</v>
      </c>
      <c r="B165" t="s">
        <v>134</v>
      </c>
      <c r="C165" t="s">
        <v>97</v>
      </c>
      <c r="D165" t="s">
        <v>76</v>
      </c>
      <c r="F165" s="6">
        <v>6999</v>
      </c>
      <c r="G165" t="s">
        <v>137</v>
      </c>
    </row>
    <row r="166" spans="1:7" x14ac:dyDescent="0.2">
      <c r="A166" s="5">
        <v>46054</v>
      </c>
      <c r="B166" t="s">
        <v>134</v>
      </c>
      <c r="C166" t="s">
        <v>97</v>
      </c>
      <c r="D166" t="s">
        <v>79</v>
      </c>
      <c r="F166" s="6">
        <v>9332</v>
      </c>
      <c r="G166" t="s">
        <v>137</v>
      </c>
    </row>
    <row r="167" spans="1:7" x14ac:dyDescent="0.2">
      <c r="A167" s="5">
        <v>46054</v>
      </c>
      <c r="B167" t="s">
        <v>134</v>
      </c>
      <c r="C167" t="s">
        <v>97</v>
      </c>
      <c r="D167" t="s">
        <v>87</v>
      </c>
      <c r="F167" s="6">
        <v>3500</v>
      </c>
      <c r="G167" t="s">
        <v>137</v>
      </c>
    </row>
    <row r="168" spans="1:7" x14ac:dyDescent="0.2">
      <c r="A168" s="5">
        <v>46054</v>
      </c>
      <c r="B168" t="s">
        <v>134</v>
      </c>
      <c r="C168" t="s">
        <v>97</v>
      </c>
      <c r="D168" t="s">
        <v>91</v>
      </c>
      <c r="F168" s="6">
        <v>2333</v>
      </c>
      <c r="G168" t="s">
        <v>137</v>
      </c>
    </row>
    <row r="169" spans="1:7" x14ac:dyDescent="0.2">
      <c r="A169" s="5">
        <v>46054</v>
      </c>
      <c r="B169" t="s">
        <v>134</v>
      </c>
      <c r="C169" t="s">
        <v>102</v>
      </c>
      <c r="D169" t="s">
        <v>67</v>
      </c>
      <c r="F169" s="6">
        <v>53025</v>
      </c>
      <c r="G169" t="s">
        <v>137</v>
      </c>
    </row>
    <row r="170" spans="1:7" x14ac:dyDescent="0.2">
      <c r="A170" s="5">
        <v>46054</v>
      </c>
      <c r="B170" t="s">
        <v>134</v>
      </c>
      <c r="C170" t="s">
        <v>102</v>
      </c>
      <c r="D170" t="s">
        <v>71</v>
      </c>
      <c r="F170" s="6">
        <v>11666</v>
      </c>
      <c r="G170" t="s">
        <v>137</v>
      </c>
    </row>
    <row r="171" spans="1:7" x14ac:dyDescent="0.2">
      <c r="A171" s="5">
        <v>46054</v>
      </c>
      <c r="B171" t="s">
        <v>134</v>
      </c>
      <c r="C171" t="s">
        <v>102</v>
      </c>
      <c r="D171" t="s">
        <v>75</v>
      </c>
      <c r="F171" s="6">
        <v>5302</v>
      </c>
      <c r="G171" t="s">
        <v>137</v>
      </c>
    </row>
    <row r="172" spans="1:7" x14ac:dyDescent="0.2">
      <c r="A172" s="5">
        <v>46054</v>
      </c>
      <c r="B172" t="s">
        <v>134</v>
      </c>
      <c r="C172" t="s">
        <v>102</v>
      </c>
      <c r="D172" t="s">
        <v>76</v>
      </c>
      <c r="F172" s="6">
        <v>3182</v>
      </c>
      <c r="G172" t="s">
        <v>137</v>
      </c>
    </row>
    <row r="173" spans="1:7" x14ac:dyDescent="0.2">
      <c r="A173" s="5">
        <v>46054</v>
      </c>
      <c r="B173" t="s">
        <v>134</v>
      </c>
      <c r="C173" t="s">
        <v>102</v>
      </c>
      <c r="D173" t="s">
        <v>79</v>
      </c>
      <c r="F173" s="6">
        <v>4242</v>
      </c>
      <c r="G173" t="s">
        <v>137</v>
      </c>
    </row>
    <row r="174" spans="1:7" x14ac:dyDescent="0.2">
      <c r="A174" s="5">
        <v>46054</v>
      </c>
      <c r="B174" t="s">
        <v>134</v>
      </c>
      <c r="C174" t="s">
        <v>102</v>
      </c>
      <c r="D174" t="s">
        <v>81</v>
      </c>
      <c r="F174" s="6">
        <v>71584</v>
      </c>
      <c r="G174" t="s">
        <v>137</v>
      </c>
    </row>
    <row r="175" spans="1:7" x14ac:dyDescent="0.2">
      <c r="A175" s="5">
        <v>46054</v>
      </c>
      <c r="B175" t="s">
        <v>134</v>
      </c>
      <c r="C175" t="s">
        <v>102</v>
      </c>
      <c r="D175" t="s">
        <v>87</v>
      </c>
      <c r="F175" s="6">
        <v>1591</v>
      </c>
      <c r="G175" t="s">
        <v>137</v>
      </c>
    </row>
    <row r="176" spans="1:7" x14ac:dyDescent="0.2">
      <c r="A176" s="5">
        <v>46054</v>
      </c>
      <c r="B176" t="s">
        <v>134</v>
      </c>
      <c r="C176" t="s">
        <v>102</v>
      </c>
      <c r="D176" t="s">
        <v>91</v>
      </c>
      <c r="F176" s="6">
        <v>1060</v>
      </c>
      <c r="G176" t="s">
        <v>137</v>
      </c>
    </row>
    <row r="177" spans="1:7" x14ac:dyDescent="0.2">
      <c r="A177" s="5">
        <v>46054</v>
      </c>
      <c r="B177" t="s">
        <v>134</v>
      </c>
      <c r="C177" t="s">
        <v>106</v>
      </c>
      <c r="D177" t="s">
        <v>65</v>
      </c>
      <c r="F177" s="6">
        <v>24038</v>
      </c>
      <c r="G177" t="s">
        <v>137</v>
      </c>
    </row>
    <row r="178" spans="1:7" x14ac:dyDescent="0.2">
      <c r="A178" s="5">
        <v>46054</v>
      </c>
      <c r="B178" t="s">
        <v>134</v>
      </c>
      <c r="C178" t="s">
        <v>106</v>
      </c>
      <c r="D178" t="s">
        <v>67</v>
      </c>
      <c r="F178" s="6">
        <v>60095</v>
      </c>
      <c r="G178" t="s">
        <v>137</v>
      </c>
    </row>
    <row r="179" spans="1:7" x14ac:dyDescent="0.2">
      <c r="A179" s="5">
        <v>46054</v>
      </c>
      <c r="B179" t="s">
        <v>134</v>
      </c>
      <c r="C179" t="s">
        <v>106</v>
      </c>
      <c r="D179" t="s">
        <v>71</v>
      </c>
      <c r="F179" s="6">
        <v>13221</v>
      </c>
      <c r="G179" t="s">
        <v>137</v>
      </c>
    </row>
    <row r="180" spans="1:7" x14ac:dyDescent="0.2">
      <c r="A180" s="5">
        <v>46054</v>
      </c>
      <c r="B180" t="s">
        <v>134</v>
      </c>
      <c r="C180" t="s">
        <v>106</v>
      </c>
      <c r="D180" t="s">
        <v>75</v>
      </c>
      <c r="F180" s="6">
        <v>6010</v>
      </c>
      <c r="G180" t="s">
        <v>137</v>
      </c>
    </row>
    <row r="181" spans="1:7" x14ac:dyDescent="0.2">
      <c r="A181" s="5">
        <v>46054</v>
      </c>
      <c r="B181" t="s">
        <v>134</v>
      </c>
      <c r="C181" t="s">
        <v>106</v>
      </c>
      <c r="D181" t="s">
        <v>76</v>
      </c>
      <c r="F181" s="6">
        <v>3606</v>
      </c>
      <c r="G181" t="s">
        <v>137</v>
      </c>
    </row>
    <row r="182" spans="1:7" x14ac:dyDescent="0.2">
      <c r="A182" s="5">
        <v>46054</v>
      </c>
      <c r="B182" t="s">
        <v>134</v>
      </c>
      <c r="C182" t="s">
        <v>106</v>
      </c>
      <c r="D182" t="s">
        <v>79</v>
      </c>
      <c r="F182" s="6">
        <v>2404</v>
      </c>
      <c r="G182" t="s">
        <v>137</v>
      </c>
    </row>
    <row r="183" spans="1:7" x14ac:dyDescent="0.2">
      <c r="A183" s="5">
        <v>46054</v>
      </c>
      <c r="B183" t="s">
        <v>134</v>
      </c>
      <c r="C183" t="s">
        <v>106</v>
      </c>
      <c r="D183" t="s">
        <v>87</v>
      </c>
      <c r="F183" s="6">
        <v>1803</v>
      </c>
      <c r="G183" t="s">
        <v>137</v>
      </c>
    </row>
    <row r="184" spans="1:7" x14ac:dyDescent="0.2">
      <c r="A184" s="5">
        <v>46054</v>
      </c>
      <c r="B184" t="s">
        <v>134</v>
      </c>
      <c r="C184" t="s">
        <v>106</v>
      </c>
      <c r="D184" t="s">
        <v>91</v>
      </c>
      <c r="F184" s="6">
        <v>1202</v>
      </c>
      <c r="G184" t="s">
        <v>137</v>
      </c>
    </row>
    <row r="185" spans="1:7" x14ac:dyDescent="0.2">
      <c r="A185" s="5">
        <v>46054</v>
      </c>
      <c r="B185" t="s">
        <v>134</v>
      </c>
      <c r="C185" t="s">
        <v>110</v>
      </c>
      <c r="D185" t="s">
        <v>61</v>
      </c>
      <c r="F185" s="6">
        <v>183820</v>
      </c>
      <c r="G185" t="s">
        <v>137</v>
      </c>
    </row>
    <row r="186" spans="1:7" x14ac:dyDescent="0.2">
      <c r="A186" s="5">
        <v>46054</v>
      </c>
      <c r="B186" t="s">
        <v>134</v>
      </c>
      <c r="C186" t="s">
        <v>110</v>
      </c>
      <c r="D186" t="s">
        <v>67</v>
      </c>
      <c r="F186" s="6">
        <v>183820</v>
      </c>
      <c r="G186" t="s">
        <v>137</v>
      </c>
    </row>
    <row r="187" spans="1:7" x14ac:dyDescent="0.2">
      <c r="A187" s="5">
        <v>46054</v>
      </c>
      <c r="B187" t="s">
        <v>134</v>
      </c>
      <c r="C187" t="s">
        <v>110</v>
      </c>
      <c r="D187" t="s">
        <v>71</v>
      </c>
      <c r="F187" s="6">
        <v>40440</v>
      </c>
      <c r="G187" t="s">
        <v>137</v>
      </c>
    </row>
    <row r="188" spans="1:7" x14ac:dyDescent="0.2">
      <c r="A188" s="5">
        <v>46054</v>
      </c>
      <c r="B188" t="s">
        <v>134</v>
      </c>
      <c r="C188" t="s">
        <v>110</v>
      </c>
      <c r="D188" t="s">
        <v>75</v>
      </c>
      <c r="F188" s="6">
        <v>18382</v>
      </c>
      <c r="G188" t="s">
        <v>137</v>
      </c>
    </row>
    <row r="189" spans="1:7" x14ac:dyDescent="0.2">
      <c r="A189" s="5">
        <v>46054</v>
      </c>
      <c r="B189" t="s">
        <v>134</v>
      </c>
      <c r="C189" t="s">
        <v>110</v>
      </c>
      <c r="D189" t="s">
        <v>76</v>
      </c>
      <c r="F189" s="6">
        <v>11029</v>
      </c>
      <c r="G189" t="s">
        <v>137</v>
      </c>
    </row>
    <row r="190" spans="1:7" x14ac:dyDescent="0.2">
      <c r="A190" s="5">
        <v>46054</v>
      </c>
      <c r="B190" t="s">
        <v>134</v>
      </c>
      <c r="C190" t="s">
        <v>110</v>
      </c>
      <c r="D190" t="s">
        <v>79</v>
      </c>
      <c r="F190" s="6">
        <v>7353</v>
      </c>
      <c r="G190" t="s">
        <v>137</v>
      </c>
    </row>
    <row r="191" spans="1:7" x14ac:dyDescent="0.2">
      <c r="A191" s="5">
        <v>46054</v>
      </c>
      <c r="B191" t="s">
        <v>134</v>
      </c>
      <c r="C191" t="s">
        <v>110</v>
      </c>
      <c r="D191" t="s">
        <v>87</v>
      </c>
      <c r="F191" s="6">
        <v>5515</v>
      </c>
      <c r="G191" t="s">
        <v>137</v>
      </c>
    </row>
    <row r="192" spans="1:7" x14ac:dyDescent="0.2">
      <c r="A192" s="5">
        <v>46054</v>
      </c>
      <c r="B192" t="s">
        <v>134</v>
      </c>
      <c r="C192" t="s">
        <v>110</v>
      </c>
      <c r="D192" t="s">
        <v>89</v>
      </c>
      <c r="F192" s="6">
        <v>31249</v>
      </c>
      <c r="G192" t="s">
        <v>137</v>
      </c>
    </row>
    <row r="193" spans="1:7" x14ac:dyDescent="0.2">
      <c r="A193" s="5">
        <v>46054</v>
      </c>
      <c r="B193" t="s">
        <v>134</v>
      </c>
      <c r="C193" t="s">
        <v>110</v>
      </c>
      <c r="D193" t="s">
        <v>91</v>
      </c>
      <c r="F193" s="6">
        <v>3676</v>
      </c>
      <c r="G193" t="s">
        <v>137</v>
      </c>
    </row>
    <row r="194" spans="1:7" x14ac:dyDescent="0.2">
      <c r="A194" s="5">
        <v>46054</v>
      </c>
      <c r="B194" t="s">
        <v>134</v>
      </c>
      <c r="C194" t="s">
        <v>114</v>
      </c>
      <c r="D194" t="s">
        <v>67</v>
      </c>
      <c r="F194" s="6">
        <v>49490</v>
      </c>
      <c r="G194" t="s">
        <v>137</v>
      </c>
    </row>
    <row r="195" spans="1:7" x14ac:dyDescent="0.2">
      <c r="A195" s="5">
        <v>46054</v>
      </c>
      <c r="B195" t="s">
        <v>134</v>
      </c>
      <c r="C195" t="s">
        <v>114</v>
      </c>
      <c r="D195" t="s">
        <v>71</v>
      </c>
      <c r="F195" s="6">
        <v>10888</v>
      </c>
      <c r="G195" t="s">
        <v>137</v>
      </c>
    </row>
    <row r="196" spans="1:7" x14ac:dyDescent="0.2">
      <c r="A196" s="5">
        <v>46054</v>
      </c>
      <c r="B196" t="s">
        <v>134</v>
      </c>
      <c r="C196" t="s">
        <v>114</v>
      </c>
      <c r="D196" t="s">
        <v>75</v>
      </c>
      <c r="F196" s="6">
        <v>4949</v>
      </c>
      <c r="G196" t="s">
        <v>137</v>
      </c>
    </row>
    <row r="197" spans="1:7" x14ac:dyDescent="0.2">
      <c r="A197" s="5">
        <v>46054</v>
      </c>
      <c r="B197" t="s">
        <v>134</v>
      </c>
      <c r="C197" t="s">
        <v>114</v>
      </c>
      <c r="D197" t="s">
        <v>76</v>
      </c>
      <c r="F197" s="6">
        <v>2969</v>
      </c>
      <c r="G197" t="s">
        <v>137</v>
      </c>
    </row>
    <row r="198" spans="1:7" x14ac:dyDescent="0.2">
      <c r="A198" s="5">
        <v>46054</v>
      </c>
      <c r="B198" t="s">
        <v>134</v>
      </c>
      <c r="C198" t="s">
        <v>114</v>
      </c>
      <c r="D198" t="s">
        <v>79</v>
      </c>
      <c r="F198" s="6">
        <v>1980</v>
      </c>
      <c r="G198" t="s">
        <v>137</v>
      </c>
    </row>
    <row r="199" spans="1:7" x14ac:dyDescent="0.2">
      <c r="A199" s="5">
        <v>46054</v>
      </c>
      <c r="B199" t="s">
        <v>134</v>
      </c>
      <c r="C199" t="s">
        <v>114</v>
      </c>
      <c r="D199" t="s">
        <v>87</v>
      </c>
      <c r="F199" s="6">
        <v>1485</v>
      </c>
      <c r="G199" t="s">
        <v>137</v>
      </c>
    </row>
    <row r="200" spans="1:7" x14ac:dyDescent="0.2">
      <c r="A200" s="5">
        <v>46054</v>
      </c>
      <c r="B200" t="s">
        <v>134</v>
      </c>
      <c r="C200" t="s">
        <v>114</v>
      </c>
      <c r="D200" t="s">
        <v>91</v>
      </c>
      <c r="F200" s="6">
        <v>990</v>
      </c>
      <c r="G200" t="s">
        <v>137</v>
      </c>
    </row>
    <row r="201" spans="1:7" x14ac:dyDescent="0.2">
      <c r="A201" s="5">
        <v>46054</v>
      </c>
      <c r="B201" t="s">
        <v>134</v>
      </c>
      <c r="C201" t="s">
        <v>118</v>
      </c>
      <c r="D201" t="s">
        <v>67</v>
      </c>
      <c r="F201" s="6">
        <v>77770</v>
      </c>
      <c r="G201" t="s">
        <v>137</v>
      </c>
    </row>
    <row r="202" spans="1:7" x14ac:dyDescent="0.2">
      <c r="A202" s="5">
        <v>46054</v>
      </c>
      <c r="B202" t="s">
        <v>134</v>
      </c>
      <c r="C202" t="s">
        <v>118</v>
      </c>
      <c r="D202" t="s">
        <v>71</v>
      </c>
      <c r="F202" s="6">
        <v>17109</v>
      </c>
      <c r="G202" t="s">
        <v>137</v>
      </c>
    </row>
    <row r="203" spans="1:7" x14ac:dyDescent="0.2">
      <c r="A203" s="5">
        <v>46054</v>
      </c>
      <c r="B203" t="s">
        <v>134</v>
      </c>
      <c r="C203" t="s">
        <v>118</v>
      </c>
      <c r="D203" t="s">
        <v>75</v>
      </c>
      <c r="F203" s="6">
        <v>7777</v>
      </c>
      <c r="G203" t="s">
        <v>137</v>
      </c>
    </row>
    <row r="204" spans="1:7" x14ac:dyDescent="0.2">
      <c r="A204" s="5">
        <v>46054</v>
      </c>
      <c r="B204" t="s">
        <v>134</v>
      </c>
      <c r="C204" t="s">
        <v>118</v>
      </c>
      <c r="D204" t="s">
        <v>76</v>
      </c>
      <c r="F204" s="6">
        <v>4666</v>
      </c>
      <c r="G204" t="s">
        <v>137</v>
      </c>
    </row>
    <row r="205" spans="1:7" x14ac:dyDescent="0.2">
      <c r="A205" s="5">
        <v>46054</v>
      </c>
      <c r="B205" t="s">
        <v>134</v>
      </c>
      <c r="C205" t="s">
        <v>118</v>
      </c>
      <c r="D205" t="s">
        <v>79</v>
      </c>
      <c r="F205" s="6">
        <v>3111</v>
      </c>
      <c r="G205" t="s">
        <v>137</v>
      </c>
    </row>
    <row r="206" spans="1:7" x14ac:dyDescent="0.2">
      <c r="A206" s="5">
        <v>46054</v>
      </c>
      <c r="B206" t="s">
        <v>134</v>
      </c>
      <c r="C206" t="s">
        <v>118</v>
      </c>
      <c r="D206" t="s">
        <v>83</v>
      </c>
      <c r="F206" s="6">
        <v>45107</v>
      </c>
      <c r="G206" t="s">
        <v>137</v>
      </c>
    </row>
    <row r="207" spans="1:7" x14ac:dyDescent="0.2">
      <c r="A207" s="5">
        <v>46054</v>
      </c>
      <c r="B207" t="s">
        <v>134</v>
      </c>
      <c r="C207" t="s">
        <v>118</v>
      </c>
      <c r="D207" t="s">
        <v>85</v>
      </c>
      <c r="F207" s="6">
        <v>24886</v>
      </c>
      <c r="G207" t="s">
        <v>137</v>
      </c>
    </row>
    <row r="208" spans="1:7" x14ac:dyDescent="0.2">
      <c r="A208" s="5">
        <v>46054</v>
      </c>
      <c r="B208" t="s">
        <v>134</v>
      </c>
      <c r="C208" t="s">
        <v>118</v>
      </c>
      <c r="D208" t="s">
        <v>87</v>
      </c>
      <c r="F208" s="6">
        <v>2333</v>
      </c>
      <c r="G208" t="s">
        <v>137</v>
      </c>
    </row>
    <row r="209" spans="1:7" x14ac:dyDescent="0.2">
      <c r="A209" s="5">
        <v>46054</v>
      </c>
      <c r="B209" t="s">
        <v>134</v>
      </c>
      <c r="C209" t="s">
        <v>118</v>
      </c>
      <c r="D209" t="s">
        <v>91</v>
      </c>
      <c r="F209" s="6">
        <v>1555</v>
      </c>
      <c r="G209" t="s">
        <v>137</v>
      </c>
    </row>
    <row r="210" spans="1:7" x14ac:dyDescent="0.2">
      <c r="A210" s="5">
        <v>46082</v>
      </c>
      <c r="B210" t="s">
        <v>129</v>
      </c>
      <c r="C210" t="s">
        <v>122</v>
      </c>
      <c r="D210" t="s">
        <v>54</v>
      </c>
      <c r="E210" t="s">
        <v>130</v>
      </c>
      <c r="F210" s="6">
        <v>1758276</v>
      </c>
      <c r="G210" t="s">
        <v>137</v>
      </c>
    </row>
    <row r="211" spans="1:7" x14ac:dyDescent="0.2">
      <c r="A211" s="5">
        <v>46082</v>
      </c>
      <c r="B211" t="s">
        <v>129</v>
      </c>
      <c r="C211" t="s">
        <v>122</v>
      </c>
      <c r="D211" t="s">
        <v>54</v>
      </c>
      <c r="E211" t="s">
        <v>132</v>
      </c>
      <c r="F211" s="6">
        <v>946764</v>
      </c>
      <c r="G211" t="s">
        <v>137</v>
      </c>
    </row>
    <row r="212" spans="1:7" x14ac:dyDescent="0.2">
      <c r="A212" s="5">
        <v>46082</v>
      </c>
      <c r="B212" t="s">
        <v>129</v>
      </c>
      <c r="C212" t="s">
        <v>122</v>
      </c>
      <c r="D212" t="s">
        <v>58</v>
      </c>
      <c r="E212" t="s">
        <v>133</v>
      </c>
      <c r="F212" s="6">
        <v>270504</v>
      </c>
      <c r="G212" t="s">
        <v>137</v>
      </c>
    </row>
    <row r="213" spans="1:7" x14ac:dyDescent="0.2">
      <c r="A213" s="5">
        <v>46082</v>
      </c>
      <c r="B213" t="s">
        <v>129</v>
      </c>
      <c r="C213" t="s">
        <v>97</v>
      </c>
      <c r="D213" t="s">
        <v>67</v>
      </c>
      <c r="F213" s="6">
        <v>336600</v>
      </c>
      <c r="G213" t="s">
        <v>137</v>
      </c>
    </row>
    <row r="214" spans="1:7" x14ac:dyDescent="0.2">
      <c r="A214" s="5">
        <v>46082</v>
      </c>
      <c r="B214" t="s">
        <v>129</v>
      </c>
      <c r="C214" t="s">
        <v>97</v>
      </c>
      <c r="D214" t="s">
        <v>71</v>
      </c>
      <c r="F214" s="6">
        <v>74052</v>
      </c>
      <c r="G214" t="s">
        <v>137</v>
      </c>
    </row>
    <row r="215" spans="1:7" x14ac:dyDescent="0.2">
      <c r="A215" s="5">
        <v>46082</v>
      </c>
      <c r="B215" t="s">
        <v>129</v>
      </c>
      <c r="C215" t="s">
        <v>97</v>
      </c>
      <c r="D215" t="s">
        <v>73</v>
      </c>
      <c r="F215" s="6">
        <v>117810</v>
      </c>
      <c r="G215" t="s">
        <v>137</v>
      </c>
    </row>
    <row r="216" spans="1:7" x14ac:dyDescent="0.2">
      <c r="A216" s="5">
        <v>46082</v>
      </c>
      <c r="B216" t="s">
        <v>129</v>
      </c>
      <c r="C216" t="s">
        <v>97</v>
      </c>
      <c r="D216" t="s">
        <v>75</v>
      </c>
      <c r="F216" s="6">
        <v>33660</v>
      </c>
      <c r="G216" t="s">
        <v>137</v>
      </c>
    </row>
    <row r="217" spans="1:7" x14ac:dyDescent="0.2">
      <c r="A217" s="5">
        <v>46082</v>
      </c>
      <c r="B217" t="s">
        <v>129</v>
      </c>
      <c r="C217" t="s">
        <v>97</v>
      </c>
      <c r="D217" t="s">
        <v>76</v>
      </c>
      <c r="F217" s="6">
        <v>20196</v>
      </c>
      <c r="G217" t="s">
        <v>137</v>
      </c>
    </row>
    <row r="218" spans="1:7" x14ac:dyDescent="0.2">
      <c r="A218" s="5">
        <v>46082</v>
      </c>
      <c r="B218" t="s">
        <v>129</v>
      </c>
      <c r="C218" t="s">
        <v>97</v>
      </c>
      <c r="D218" t="s">
        <v>79</v>
      </c>
      <c r="F218" s="6">
        <v>26928</v>
      </c>
      <c r="G218" t="s">
        <v>137</v>
      </c>
    </row>
    <row r="219" spans="1:7" x14ac:dyDescent="0.2">
      <c r="A219" s="5">
        <v>46082</v>
      </c>
      <c r="B219" t="s">
        <v>129</v>
      </c>
      <c r="C219" t="s">
        <v>97</v>
      </c>
      <c r="D219" t="s">
        <v>87</v>
      </c>
      <c r="F219" s="6">
        <v>10098</v>
      </c>
      <c r="G219" t="s">
        <v>137</v>
      </c>
    </row>
    <row r="220" spans="1:7" x14ac:dyDescent="0.2">
      <c r="A220" s="5">
        <v>46082</v>
      </c>
      <c r="B220" t="s">
        <v>129</v>
      </c>
      <c r="C220" t="s">
        <v>97</v>
      </c>
      <c r="D220" t="s">
        <v>91</v>
      </c>
      <c r="F220" s="6">
        <v>6732</v>
      </c>
      <c r="G220" t="s">
        <v>137</v>
      </c>
    </row>
    <row r="221" spans="1:7" x14ac:dyDescent="0.2">
      <c r="A221" s="5">
        <v>46082</v>
      </c>
      <c r="B221" t="s">
        <v>129</v>
      </c>
      <c r="C221" t="s">
        <v>102</v>
      </c>
      <c r="D221" t="s">
        <v>67</v>
      </c>
      <c r="F221" s="6">
        <v>153000</v>
      </c>
      <c r="G221" t="s">
        <v>137</v>
      </c>
    </row>
    <row r="222" spans="1:7" x14ac:dyDescent="0.2">
      <c r="A222" s="5">
        <v>46082</v>
      </c>
      <c r="B222" t="s">
        <v>129</v>
      </c>
      <c r="C222" t="s">
        <v>102</v>
      </c>
      <c r="D222" t="s">
        <v>71</v>
      </c>
      <c r="F222" s="6">
        <v>33660</v>
      </c>
      <c r="G222" t="s">
        <v>137</v>
      </c>
    </row>
    <row r="223" spans="1:7" x14ac:dyDescent="0.2">
      <c r="A223" s="5">
        <v>46082</v>
      </c>
      <c r="B223" t="s">
        <v>129</v>
      </c>
      <c r="C223" t="s">
        <v>102</v>
      </c>
      <c r="D223" t="s">
        <v>75</v>
      </c>
      <c r="F223" s="6">
        <v>15300</v>
      </c>
      <c r="G223" t="s">
        <v>137</v>
      </c>
    </row>
    <row r="224" spans="1:7" x14ac:dyDescent="0.2">
      <c r="A224" s="5">
        <v>46082</v>
      </c>
      <c r="B224" t="s">
        <v>129</v>
      </c>
      <c r="C224" t="s">
        <v>102</v>
      </c>
      <c r="D224" t="s">
        <v>76</v>
      </c>
      <c r="F224" s="6">
        <v>9180</v>
      </c>
      <c r="G224" t="s">
        <v>137</v>
      </c>
    </row>
    <row r="225" spans="1:7" x14ac:dyDescent="0.2">
      <c r="A225" s="5">
        <v>46082</v>
      </c>
      <c r="B225" t="s">
        <v>129</v>
      </c>
      <c r="C225" t="s">
        <v>102</v>
      </c>
      <c r="D225" t="s">
        <v>79</v>
      </c>
      <c r="F225" s="6">
        <v>12240</v>
      </c>
      <c r="G225" t="s">
        <v>137</v>
      </c>
    </row>
    <row r="226" spans="1:7" x14ac:dyDescent="0.2">
      <c r="A226" s="5">
        <v>46082</v>
      </c>
      <c r="B226" t="s">
        <v>129</v>
      </c>
      <c r="C226" t="s">
        <v>102</v>
      </c>
      <c r="D226" t="s">
        <v>81</v>
      </c>
      <c r="F226" s="6">
        <v>206550</v>
      </c>
      <c r="G226" t="s">
        <v>137</v>
      </c>
    </row>
    <row r="227" spans="1:7" x14ac:dyDescent="0.2">
      <c r="A227" s="5">
        <v>46082</v>
      </c>
      <c r="B227" t="s">
        <v>129</v>
      </c>
      <c r="C227" t="s">
        <v>102</v>
      </c>
      <c r="D227" t="s">
        <v>87</v>
      </c>
      <c r="F227" s="6">
        <v>4590</v>
      </c>
      <c r="G227" t="s">
        <v>137</v>
      </c>
    </row>
    <row r="228" spans="1:7" x14ac:dyDescent="0.2">
      <c r="A228" s="5">
        <v>46082</v>
      </c>
      <c r="B228" t="s">
        <v>129</v>
      </c>
      <c r="C228" t="s">
        <v>102</v>
      </c>
      <c r="D228" t="s">
        <v>91</v>
      </c>
      <c r="F228" s="6">
        <v>3060</v>
      </c>
      <c r="G228" t="s">
        <v>137</v>
      </c>
    </row>
    <row r="229" spans="1:7" x14ac:dyDescent="0.2">
      <c r="A229" s="5">
        <v>46082</v>
      </c>
      <c r="B229" t="s">
        <v>129</v>
      </c>
      <c r="C229" t="s">
        <v>106</v>
      </c>
      <c r="D229" t="s">
        <v>65</v>
      </c>
      <c r="F229" s="6">
        <v>69360</v>
      </c>
      <c r="G229" t="s">
        <v>137</v>
      </c>
    </row>
    <row r="230" spans="1:7" x14ac:dyDescent="0.2">
      <c r="A230" s="5">
        <v>46082</v>
      </c>
      <c r="B230" t="s">
        <v>129</v>
      </c>
      <c r="C230" t="s">
        <v>106</v>
      </c>
      <c r="D230" t="s">
        <v>67</v>
      </c>
      <c r="F230" s="6">
        <v>173400</v>
      </c>
      <c r="G230" t="s">
        <v>137</v>
      </c>
    </row>
    <row r="231" spans="1:7" x14ac:dyDescent="0.2">
      <c r="A231" s="5">
        <v>46082</v>
      </c>
      <c r="B231" t="s">
        <v>129</v>
      </c>
      <c r="C231" t="s">
        <v>106</v>
      </c>
      <c r="D231" t="s">
        <v>71</v>
      </c>
      <c r="F231" s="6">
        <v>38148</v>
      </c>
      <c r="G231" t="s">
        <v>137</v>
      </c>
    </row>
    <row r="232" spans="1:7" x14ac:dyDescent="0.2">
      <c r="A232" s="5">
        <v>46082</v>
      </c>
      <c r="B232" t="s">
        <v>129</v>
      </c>
      <c r="C232" t="s">
        <v>106</v>
      </c>
      <c r="D232" t="s">
        <v>75</v>
      </c>
      <c r="F232" s="6">
        <v>17340</v>
      </c>
      <c r="G232" t="s">
        <v>137</v>
      </c>
    </row>
    <row r="233" spans="1:7" x14ac:dyDescent="0.2">
      <c r="A233" s="5">
        <v>46082</v>
      </c>
      <c r="B233" t="s">
        <v>129</v>
      </c>
      <c r="C233" t="s">
        <v>106</v>
      </c>
      <c r="D233" t="s">
        <v>76</v>
      </c>
      <c r="F233" s="6">
        <v>10404</v>
      </c>
      <c r="G233" t="s">
        <v>137</v>
      </c>
    </row>
    <row r="234" spans="1:7" x14ac:dyDescent="0.2">
      <c r="A234" s="5">
        <v>46082</v>
      </c>
      <c r="B234" t="s">
        <v>129</v>
      </c>
      <c r="C234" t="s">
        <v>106</v>
      </c>
      <c r="D234" t="s">
        <v>79</v>
      </c>
      <c r="F234" s="6">
        <v>6936</v>
      </c>
      <c r="G234" t="s">
        <v>137</v>
      </c>
    </row>
    <row r="235" spans="1:7" x14ac:dyDescent="0.2">
      <c r="A235" s="5">
        <v>46082</v>
      </c>
      <c r="B235" t="s">
        <v>129</v>
      </c>
      <c r="C235" t="s">
        <v>106</v>
      </c>
      <c r="D235" t="s">
        <v>87</v>
      </c>
      <c r="F235" s="6">
        <v>5202</v>
      </c>
      <c r="G235" t="s">
        <v>137</v>
      </c>
    </row>
    <row r="236" spans="1:7" x14ac:dyDescent="0.2">
      <c r="A236" s="5">
        <v>46082</v>
      </c>
      <c r="B236" t="s">
        <v>129</v>
      </c>
      <c r="C236" t="s">
        <v>106</v>
      </c>
      <c r="D236" t="s">
        <v>91</v>
      </c>
      <c r="F236" s="6">
        <v>3468</v>
      </c>
      <c r="G236" t="s">
        <v>137</v>
      </c>
    </row>
    <row r="237" spans="1:7" x14ac:dyDescent="0.2">
      <c r="A237" s="5">
        <v>46082</v>
      </c>
      <c r="B237" t="s">
        <v>129</v>
      </c>
      <c r="C237" t="s">
        <v>110</v>
      </c>
      <c r="D237" t="s">
        <v>61</v>
      </c>
      <c r="F237" s="6">
        <v>530400</v>
      </c>
      <c r="G237" t="s">
        <v>137</v>
      </c>
    </row>
    <row r="238" spans="1:7" x14ac:dyDescent="0.2">
      <c r="A238" s="5">
        <v>46082</v>
      </c>
      <c r="B238" t="s">
        <v>129</v>
      </c>
      <c r="C238" t="s">
        <v>110</v>
      </c>
      <c r="D238" t="s">
        <v>67</v>
      </c>
      <c r="F238" s="6">
        <v>530400</v>
      </c>
      <c r="G238" t="s">
        <v>137</v>
      </c>
    </row>
    <row r="239" spans="1:7" x14ac:dyDescent="0.2">
      <c r="A239" s="5">
        <v>46082</v>
      </c>
      <c r="B239" t="s">
        <v>129</v>
      </c>
      <c r="C239" t="s">
        <v>110</v>
      </c>
      <c r="D239" t="s">
        <v>71</v>
      </c>
      <c r="F239" s="6">
        <v>116688</v>
      </c>
      <c r="G239" t="s">
        <v>137</v>
      </c>
    </row>
    <row r="240" spans="1:7" x14ac:dyDescent="0.2">
      <c r="A240" s="5">
        <v>46082</v>
      </c>
      <c r="B240" t="s">
        <v>129</v>
      </c>
      <c r="C240" t="s">
        <v>110</v>
      </c>
      <c r="D240" t="s">
        <v>75</v>
      </c>
      <c r="F240" s="6">
        <v>53040</v>
      </c>
      <c r="G240" t="s">
        <v>137</v>
      </c>
    </row>
    <row r="241" spans="1:7" x14ac:dyDescent="0.2">
      <c r="A241" s="5">
        <v>46082</v>
      </c>
      <c r="B241" t="s">
        <v>129</v>
      </c>
      <c r="C241" t="s">
        <v>110</v>
      </c>
      <c r="D241" t="s">
        <v>76</v>
      </c>
      <c r="F241" s="6">
        <v>31824</v>
      </c>
      <c r="G241" t="s">
        <v>137</v>
      </c>
    </row>
    <row r="242" spans="1:7" x14ac:dyDescent="0.2">
      <c r="A242" s="5">
        <v>46082</v>
      </c>
      <c r="B242" t="s">
        <v>129</v>
      </c>
      <c r="C242" t="s">
        <v>110</v>
      </c>
      <c r="D242" t="s">
        <v>79</v>
      </c>
      <c r="F242" s="6">
        <v>21216</v>
      </c>
      <c r="G242" t="s">
        <v>137</v>
      </c>
    </row>
    <row r="243" spans="1:7" x14ac:dyDescent="0.2">
      <c r="A243" s="5">
        <v>46082</v>
      </c>
      <c r="B243" t="s">
        <v>129</v>
      </c>
      <c r="C243" t="s">
        <v>110</v>
      </c>
      <c r="D243" t="s">
        <v>87</v>
      </c>
      <c r="F243" s="6">
        <v>15912</v>
      </c>
      <c r="G243" t="s">
        <v>137</v>
      </c>
    </row>
    <row r="244" spans="1:7" x14ac:dyDescent="0.2">
      <c r="A244" s="5">
        <v>46082</v>
      </c>
      <c r="B244" t="s">
        <v>129</v>
      </c>
      <c r="C244" t="s">
        <v>110</v>
      </c>
      <c r="D244" t="s">
        <v>89</v>
      </c>
      <c r="F244" s="6">
        <v>90168</v>
      </c>
      <c r="G244" t="s">
        <v>137</v>
      </c>
    </row>
    <row r="245" spans="1:7" x14ac:dyDescent="0.2">
      <c r="A245" s="5">
        <v>46082</v>
      </c>
      <c r="B245" t="s">
        <v>129</v>
      </c>
      <c r="C245" t="s">
        <v>110</v>
      </c>
      <c r="D245" t="s">
        <v>91</v>
      </c>
      <c r="F245" s="6">
        <v>10608</v>
      </c>
      <c r="G245" t="s">
        <v>137</v>
      </c>
    </row>
    <row r="246" spans="1:7" x14ac:dyDescent="0.2">
      <c r="A246" s="5">
        <v>46082</v>
      </c>
      <c r="B246" t="s">
        <v>129</v>
      </c>
      <c r="C246" t="s">
        <v>114</v>
      </c>
      <c r="D246" t="s">
        <v>67</v>
      </c>
      <c r="F246" s="6">
        <v>142800</v>
      </c>
      <c r="G246" t="s">
        <v>137</v>
      </c>
    </row>
    <row r="247" spans="1:7" x14ac:dyDescent="0.2">
      <c r="A247" s="5">
        <v>46082</v>
      </c>
      <c r="B247" t="s">
        <v>129</v>
      </c>
      <c r="C247" t="s">
        <v>114</v>
      </c>
      <c r="D247" t="s">
        <v>71</v>
      </c>
      <c r="F247" s="6">
        <v>31416</v>
      </c>
      <c r="G247" t="s">
        <v>137</v>
      </c>
    </row>
    <row r="248" spans="1:7" x14ac:dyDescent="0.2">
      <c r="A248" s="5">
        <v>46082</v>
      </c>
      <c r="B248" t="s">
        <v>129</v>
      </c>
      <c r="C248" t="s">
        <v>114</v>
      </c>
      <c r="D248" t="s">
        <v>75</v>
      </c>
      <c r="F248" s="6">
        <v>14280</v>
      </c>
      <c r="G248" t="s">
        <v>137</v>
      </c>
    </row>
    <row r="249" spans="1:7" x14ac:dyDescent="0.2">
      <c r="A249" s="5">
        <v>46082</v>
      </c>
      <c r="B249" t="s">
        <v>129</v>
      </c>
      <c r="C249" t="s">
        <v>114</v>
      </c>
      <c r="D249" t="s">
        <v>76</v>
      </c>
      <c r="F249" s="6">
        <v>8568</v>
      </c>
      <c r="G249" t="s">
        <v>137</v>
      </c>
    </row>
    <row r="250" spans="1:7" x14ac:dyDescent="0.2">
      <c r="A250" s="5">
        <v>46082</v>
      </c>
      <c r="B250" t="s">
        <v>129</v>
      </c>
      <c r="C250" t="s">
        <v>114</v>
      </c>
      <c r="D250" t="s">
        <v>79</v>
      </c>
      <c r="F250" s="6">
        <v>5712</v>
      </c>
      <c r="G250" t="s">
        <v>137</v>
      </c>
    </row>
    <row r="251" spans="1:7" x14ac:dyDescent="0.2">
      <c r="A251" s="5">
        <v>46082</v>
      </c>
      <c r="B251" t="s">
        <v>129</v>
      </c>
      <c r="C251" t="s">
        <v>114</v>
      </c>
      <c r="D251" t="s">
        <v>87</v>
      </c>
      <c r="F251" s="6">
        <v>4284</v>
      </c>
      <c r="G251" t="s">
        <v>137</v>
      </c>
    </row>
    <row r="252" spans="1:7" x14ac:dyDescent="0.2">
      <c r="A252" s="5">
        <v>46082</v>
      </c>
      <c r="B252" t="s">
        <v>129</v>
      </c>
      <c r="C252" t="s">
        <v>114</v>
      </c>
      <c r="D252" t="s">
        <v>91</v>
      </c>
      <c r="F252" s="6">
        <v>2856</v>
      </c>
      <c r="G252" t="s">
        <v>137</v>
      </c>
    </row>
    <row r="253" spans="1:7" x14ac:dyDescent="0.2">
      <c r="A253" s="5">
        <v>46082</v>
      </c>
      <c r="B253" t="s">
        <v>129</v>
      </c>
      <c r="C253" t="s">
        <v>118</v>
      </c>
      <c r="D253" t="s">
        <v>67</v>
      </c>
      <c r="F253" s="6">
        <v>224400</v>
      </c>
      <c r="G253" t="s">
        <v>137</v>
      </c>
    </row>
    <row r="254" spans="1:7" x14ac:dyDescent="0.2">
      <c r="A254" s="5">
        <v>46082</v>
      </c>
      <c r="B254" t="s">
        <v>129</v>
      </c>
      <c r="C254" t="s">
        <v>118</v>
      </c>
      <c r="D254" t="s">
        <v>71</v>
      </c>
      <c r="F254" s="6">
        <v>49368</v>
      </c>
      <c r="G254" t="s">
        <v>137</v>
      </c>
    </row>
    <row r="255" spans="1:7" x14ac:dyDescent="0.2">
      <c r="A255" s="5">
        <v>46082</v>
      </c>
      <c r="B255" t="s">
        <v>129</v>
      </c>
      <c r="C255" t="s">
        <v>118</v>
      </c>
      <c r="D255" t="s">
        <v>75</v>
      </c>
      <c r="F255" s="6">
        <v>22440</v>
      </c>
      <c r="G255" t="s">
        <v>137</v>
      </c>
    </row>
    <row r="256" spans="1:7" x14ac:dyDescent="0.2">
      <c r="A256" s="5">
        <v>46082</v>
      </c>
      <c r="B256" t="s">
        <v>129</v>
      </c>
      <c r="C256" t="s">
        <v>118</v>
      </c>
      <c r="D256" t="s">
        <v>76</v>
      </c>
      <c r="F256" s="6">
        <v>13464</v>
      </c>
      <c r="G256" t="s">
        <v>137</v>
      </c>
    </row>
    <row r="257" spans="1:7" x14ac:dyDescent="0.2">
      <c r="A257" s="5">
        <v>46082</v>
      </c>
      <c r="B257" t="s">
        <v>129</v>
      </c>
      <c r="C257" t="s">
        <v>118</v>
      </c>
      <c r="D257" t="s">
        <v>79</v>
      </c>
      <c r="F257" s="6">
        <v>8976</v>
      </c>
      <c r="G257" t="s">
        <v>137</v>
      </c>
    </row>
    <row r="258" spans="1:7" x14ac:dyDescent="0.2">
      <c r="A258" s="5">
        <v>46082</v>
      </c>
      <c r="B258" t="s">
        <v>129</v>
      </c>
      <c r="C258" t="s">
        <v>118</v>
      </c>
      <c r="D258" t="s">
        <v>83</v>
      </c>
      <c r="F258" s="6">
        <v>130152</v>
      </c>
      <c r="G258" t="s">
        <v>137</v>
      </c>
    </row>
    <row r="259" spans="1:7" x14ac:dyDescent="0.2">
      <c r="A259" s="5">
        <v>46082</v>
      </c>
      <c r="B259" t="s">
        <v>129</v>
      </c>
      <c r="C259" t="s">
        <v>118</v>
      </c>
      <c r="D259" t="s">
        <v>85</v>
      </c>
      <c r="F259" s="6">
        <v>71808</v>
      </c>
      <c r="G259" t="s">
        <v>137</v>
      </c>
    </row>
    <row r="260" spans="1:7" x14ac:dyDescent="0.2">
      <c r="A260" s="5">
        <v>46082</v>
      </c>
      <c r="B260" t="s">
        <v>129</v>
      </c>
      <c r="C260" t="s">
        <v>118</v>
      </c>
      <c r="D260" t="s">
        <v>87</v>
      </c>
      <c r="F260" s="6">
        <v>6732</v>
      </c>
      <c r="G260" t="s">
        <v>137</v>
      </c>
    </row>
    <row r="261" spans="1:7" x14ac:dyDescent="0.2">
      <c r="A261" s="5">
        <v>46082</v>
      </c>
      <c r="B261" t="s">
        <v>129</v>
      </c>
      <c r="C261" t="s">
        <v>118</v>
      </c>
      <c r="D261" t="s">
        <v>91</v>
      </c>
      <c r="F261" s="6">
        <v>4488</v>
      </c>
      <c r="G261" t="s">
        <v>137</v>
      </c>
    </row>
    <row r="262" spans="1:7" x14ac:dyDescent="0.2">
      <c r="A262" s="5">
        <v>46082</v>
      </c>
      <c r="B262" t="s">
        <v>134</v>
      </c>
      <c r="C262" t="s">
        <v>122</v>
      </c>
      <c r="D262" t="s">
        <v>54</v>
      </c>
      <c r="E262" t="s">
        <v>130</v>
      </c>
      <c r="F262" s="6">
        <v>615397</v>
      </c>
      <c r="G262" t="s">
        <v>137</v>
      </c>
    </row>
    <row r="263" spans="1:7" x14ac:dyDescent="0.2">
      <c r="A263" s="5">
        <v>46082</v>
      </c>
      <c r="B263" t="s">
        <v>134</v>
      </c>
      <c r="C263" t="s">
        <v>122</v>
      </c>
      <c r="D263" t="s">
        <v>54</v>
      </c>
      <c r="E263" t="s">
        <v>132</v>
      </c>
      <c r="F263" s="6">
        <v>331367</v>
      </c>
      <c r="G263" t="s">
        <v>137</v>
      </c>
    </row>
    <row r="264" spans="1:7" x14ac:dyDescent="0.2">
      <c r="A264" s="5">
        <v>46082</v>
      </c>
      <c r="B264" t="s">
        <v>134</v>
      </c>
      <c r="C264" t="s">
        <v>122</v>
      </c>
      <c r="D264" t="s">
        <v>58</v>
      </c>
      <c r="E264" t="s">
        <v>133</v>
      </c>
      <c r="F264" s="6">
        <v>94676</v>
      </c>
      <c r="G264" t="s">
        <v>137</v>
      </c>
    </row>
    <row r="265" spans="1:7" x14ac:dyDescent="0.2">
      <c r="A265" s="5">
        <v>46082</v>
      </c>
      <c r="B265" t="s">
        <v>134</v>
      </c>
      <c r="C265" t="s">
        <v>97</v>
      </c>
      <c r="D265" t="s">
        <v>67</v>
      </c>
      <c r="F265" s="6">
        <v>117810</v>
      </c>
      <c r="G265" t="s">
        <v>137</v>
      </c>
    </row>
    <row r="266" spans="1:7" x14ac:dyDescent="0.2">
      <c r="A266" s="5">
        <v>46082</v>
      </c>
      <c r="B266" t="s">
        <v>134</v>
      </c>
      <c r="C266" t="s">
        <v>97</v>
      </c>
      <c r="D266" t="s">
        <v>71</v>
      </c>
      <c r="F266" s="6">
        <v>25918</v>
      </c>
      <c r="G266" t="s">
        <v>137</v>
      </c>
    </row>
    <row r="267" spans="1:7" x14ac:dyDescent="0.2">
      <c r="A267" s="5">
        <v>46082</v>
      </c>
      <c r="B267" t="s">
        <v>134</v>
      </c>
      <c r="C267" t="s">
        <v>97</v>
      </c>
      <c r="D267" t="s">
        <v>73</v>
      </c>
      <c r="F267" s="6">
        <v>41233</v>
      </c>
      <c r="G267" t="s">
        <v>137</v>
      </c>
    </row>
    <row r="268" spans="1:7" x14ac:dyDescent="0.2">
      <c r="A268" s="5">
        <v>46082</v>
      </c>
      <c r="B268" t="s">
        <v>134</v>
      </c>
      <c r="C268" t="s">
        <v>97</v>
      </c>
      <c r="D268" t="s">
        <v>75</v>
      </c>
      <c r="F268" s="6">
        <v>11781</v>
      </c>
      <c r="G268" t="s">
        <v>137</v>
      </c>
    </row>
    <row r="269" spans="1:7" x14ac:dyDescent="0.2">
      <c r="A269" s="5">
        <v>46082</v>
      </c>
      <c r="B269" t="s">
        <v>134</v>
      </c>
      <c r="C269" t="s">
        <v>97</v>
      </c>
      <c r="D269" t="s">
        <v>76</v>
      </c>
      <c r="F269" s="6">
        <v>7069</v>
      </c>
      <c r="G269" t="s">
        <v>137</v>
      </c>
    </row>
    <row r="270" spans="1:7" x14ac:dyDescent="0.2">
      <c r="A270" s="5">
        <v>46082</v>
      </c>
      <c r="B270" t="s">
        <v>134</v>
      </c>
      <c r="C270" t="s">
        <v>97</v>
      </c>
      <c r="D270" t="s">
        <v>79</v>
      </c>
      <c r="F270" s="6">
        <v>9425</v>
      </c>
      <c r="G270" t="s">
        <v>137</v>
      </c>
    </row>
    <row r="271" spans="1:7" x14ac:dyDescent="0.2">
      <c r="A271" s="5">
        <v>46082</v>
      </c>
      <c r="B271" t="s">
        <v>134</v>
      </c>
      <c r="C271" t="s">
        <v>97</v>
      </c>
      <c r="D271" t="s">
        <v>87</v>
      </c>
      <c r="F271" s="6">
        <v>3534</v>
      </c>
      <c r="G271" t="s">
        <v>137</v>
      </c>
    </row>
    <row r="272" spans="1:7" x14ac:dyDescent="0.2">
      <c r="A272" s="5">
        <v>46082</v>
      </c>
      <c r="B272" t="s">
        <v>134</v>
      </c>
      <c r="C272" t="s">
        <v>97</v>
      </c>
      <c r="D272" t="s">
        <v>91</v>
      </c>
      <c r="F272" s="6">
        <v>2356</v>
      </c>
      <c r="G272" t="s">
        <v>137</v>
      </c>
    </row>
    <row r="273" spans="1:7" x14ac:dyDescent="0.2">
      <c r="A273" s="5">
        <v>46082</v>
      </c>
      <c r="B273" t="s">
        <v>134</v>
      </c>
      <c r="C273" t="s">
        <v>102</v>
      </c>
      <c r="D273" t="s">
        <v>67</v>
      </c>
      <c r="F273" s="6">
        <v>53550</v>
      </c>
      <c r="G273" t="s">
        <v>137</v>
      </c>
    </row>
    <row r="274" spans="1:7" x14ac:dyDescent="0.2">
      <c r="A274" s="5">
        <v>46082</v>
      </c>
      <c r="B274" t="s">
        <v>134</v>
      </c>
      <c r="C274" t="s">
        <v>102</v>
      </c>
      <c r="D274" t="s">
        <v>71</v>
      </c>
      <c r="F274" s="6">
        <v>11781</v>
      </c>
      <c r="G274" t="s">
        <v>137</v>
      </c>
    </row>
    <row r="275" spans="1:7" x14ac:dyDescent="0.2">
      <c r="A275" s="5">
        <v>46082</v>
      </c>
      <c r="B275" t="s">
        <v>134</v>
      </c>
      <c r="C275" t="s">
        <v>102</v>
      </c>
      <c r="D275" t="s">
        <v>75</v>
      </c>
      <c r="F275" s="6">
        <v>5355</v>
      </c>
      <c r="G275" t="s">
        <v>137</v>
      </c>
    </row>
    <row r="276" spans="1:7" x14ac:dyDescent="0.2">
      <c r="A276" s="5">
        <v>46082</v>
      </c>
      <c r="B276" t="s">
        <v>134</v>
      </c>
      <c r="C276" t="s">
        <v>102</v>
      </c>
      <c r="D276" t="s">
        <v>76</v>
      </c>
      <c r="F276" s="6">
        <v>3213</v>
      </c>
      <c r="G276" t="s">
        <v>137</v>
      </c>
    </row>
    <row r="277" spans="1:7" x14ac:dyDescent="0.2">
      <c r="A277" s="5">
        <v>46082</v>
      </c>
      <c r="B277" t="s">
        <v>134</v>
      </c>
      <c r="C277" t="s">
        <v>102</v>
      </c>
      <c r="D277" t="s">
        <v>79</v>
      </c>
      <c r="F277" s="6">
        <v>4284</v>
      </c>
      <c r="G277" t="s">
        <v>137</v>
      </c>
    </row>
    <row r="278" spans="1:7" x14ac:dyDescent="0.2">
      <c r="A278" s="5">
        <v>46082</v>
      </c>
      <c r="B278" t="s">
        <v>134</v>
      </c>
      <c r="C278" t="s">
        <v>102</v>
      </c>
      <c r="D278" t="s">
        <v>81</v>
      </c>
      <c r="F278" s="6">
        <v>72292</v>
      </c>
      <c r="G278" t="s">
        <v>137</v>
      </c>
    </row>
    <row r="279" spans="1:7" x14ac:dyDescent="0.2">
      <c r="A279" s="5">
        <v>46082</v>
      </c>
      <c r="B279" t="s">
        <v>134</v>
      </c>
      <c r="C279" t="s">
        <v>102</v>
      </c>
      <c r="D279" t="s">
        <v>87</v>
      </c>
      <c r="F279" s="6">
        <v>1606</v>
      </c>
      <c r="G279" t="s">
        <v>137</v>
      </c>
    </row>
    <row r="280" spans="1:7" x14ac:dyDescent="0.2">
      <c r="A280" s="5">
        <v>46082</v>
      </c>
      <c r="B280" t="s">
        <v>134</v>
      </c>
      <c r="C280" t="s">
        <v>102</v>
      </c>
      <c r="D280" t="s">
        <v>91</v>
      </c>
      <c r="F280" s="6">
        <v>1071</v>
      </c>
      <c r="G280" t="s">
        <v>137</v>
      </c>
    </row>
    <row r="281" spans="1:7" x14ac:dyDescent="0.2">
      <c r="A281" s="5">
        <v>46082</v>
      </c>
      <c r="B281" t="s">
        <v>134</v>
      </c>
      <c r="C281" t="s">
        <v>106</v>
      </c>
      <c r="D281" t="s">
        <v>65</v>
      </c>
      <c r="F281" s="6">
        <v>24276</v>
      </c>
      <c r="G281" t="s">
        <v>137</v>
      </c>
    </row>
    <row r="282" spans="1:7" x14ac:dyDescent="0.2">
      <c r="A282" s="5">
        <v>46082</v>
      </c>
      <c r="B282" t="s">
        <v>134</v>
      </c>
      <c r="C282" t="s">
        <v>106</v>
      </c>
      <c r="D282" t="s">
        <v>67</v>
      </c>
      <c r="F282" s="6">
        <v>60690</v>
      </c>
      <c r="G282" t="s">
        <v>137</v>
      </c>
    </row>
    <row r="283" spans="1:7" x14ac:dyDescent="0.2">
      <c r="A283" s="5">
        <v>46082</v>
      </c>
      <c r="B283" t="s">
        <v>134</v>
      </c>
      <c r="C283" t="s">
        <v>106</v>
      </c>
      <c r="D283" t="s">
        <v>71</v>
      </c>
      <c r="F283" s="6">
        <v>13352</v>
      </c>
      <c r="G283" t="s">
        <v>137</v>
      </c>
    </row>
    <row r="284" spans="1:7" x14ac:dyDescent="0.2">
      <c r="A284" s="5">
        <v>46082</v>
      </c>
      <c r="B284" t="s">
        <v>134</v>
      </c>
      <c r="C284" t="s">
        <v>106</v>
      </c>
      <c r="D284" t="s">
        <v>75</v>
      </c>
      <c r="F284" s="6">
        <v>6069</v>
      </c>
      <c r="G284" t="s">
        <v>137</v>
      </c>
    </row>
    <row r="285" spans="1:7" x14ac:dyDescent="0.2">
      <c r="A285" s="5">
        <v>46082</v>
      </c>
      <c r="B285" t="s">
        <v>134</v>
      </c>
      <c r="C285" t="s">
        <v>106</v>
      </c>
      <c r="D285" t="s">
        <v>76</v>
      </c>
      <c r="F285" s="6">
        <v>3641</v>
      </c>
      <c r="G285" t="s">
        <v>137</v>
      </c>
    </row>
    <row r="286" spans="1:7" x14ac:dyDescent="0.2">
      <c r="A286" s="5">
        <v>46082</v>
      </c>
      <c r="B286" t="s">
        <v>134</v>
      </c>
      <c r="C286" t="s">
        <v>106</v>
      </c>
      <c r="D286" t="s">
        <v>79</v>
      </c>
      <c r="F286" s="6">
        <v>2428</v>
      </c>
      <c r="G286" t="s">
        <v>137</v>
      </c>
    </row>
    <row r="287" spans="1:7" x14ac:dyDescent="0.2">
      <c r="A287" s="5">
        <v>46082</v>
      </c>
      <c r="B287" t="s">
        <v>134</v>
      </c>
      <c r="C287" t="s">
        <v>106</v>
      </c>
      <c r="D287" t="s">
        <v>87</v>
      </c>
      <c r="F287" s="6">
        <v>1821</v>
      </c>
      <c r="G287" t="s">
        <v>137</v>
      </c>
    </row>
    <row r="288" spans="1:7" x14ac:dyDescent="0.2">
      <c r="A288" s="5">
        <v>46082</v>
      </c>
      <c r="B288" t="s">
        <v>134</v>
      </c>
      <c r="C288" t="s">
        <v>106</v>
      </c>
      <c r="D288" t="s">
        <v>91</v>
      </c>
      <c r="F288" s="6">
        <v>1214</v>
      </c>
      <c r="G288" t="s">
        <v>137</v>
      </c>
    </row>
    <row r="289" spans="1:7" x14ac:dyDescent="0.2">
      <c r="A289" s="5">
        <v>46082</v>
      </c>
      <c r="B289" t="s">
        <v>134</v>
      </c>
      <c r="C289" t="s">
        <v>110</v>
      </c>
      <c r="D289" t="s">
        <v>61</v>
      </c>
      <c r="F289" s="6">
        <v>185640</v>
      </c>
      <c r="G289" t="s">
        <v>137</v>
      </c>
    </row>
    <row r="290" spans="1:7" x14ac:dyDescent="0.2">
      <c r="A290" s="5">
        <v>46082</v>
      </c>
      <c r="B290" t="s">
        <v>134</v>
      </c>
      <c r="C290" t="s">
        <v>110</v>
      </c>
      <c r="D290" t="s">
        <v>67</v>
      </c>
      <c r="F290" s="6">
        <v>185640</v>
      </c>
      <c r="G290" t="s">
        <v>137</v>
      </c>
    </row>
    <row r="291" spans="1:7" x14ac:dyDescent="0.2">
      <c r="A291" s="5">
        <v>46082</v>
      </c>
      <c r="B291" t="s">
        <v>134</v>
      </c>
      <c r="C291" t="s">
        <v>110</v>
      </c>
      <c r="D291" t="s">
        <v>71</v>
      </c>
      <c r="F291" s="6">
        <v>40841</v>
      </c>
      <c r="G291" t="s">
        <v>137</v>
      </c>
    </row>
    <row r="292" spans="1:7" x14ac:dyDescent="0.2">
      <c r="A292" s="5">
        <v>46082</v>
      </c>
      <c r="B292" t="s">
        <v>134</v>
      </c>
      <c r="C292" t="s">
        <v>110</v>
      </c>
      <c r="D292" t="s">
        <v>75</v>
      </c>
      <c r="F292" s="6">
        <v>18564</v>
      </c>
      <c r="G292" t="s">
        <v>137</v>
      </c>
    </row>
    <row r="293" spans="1:7" x14ac:dyDescent="0.2">
      <c r="A293" s="5">
        <v>46082</v>
      </c>
      <c r="B293" t="s">
        <v>134</v>
      </c>
      <c r="C293" t="s">
        <v>110</v>
      </c>
      <c r="D293" t="s">
        <v>76</v>
      </c>
      <c r="F293" s="6">
        <v>11138</v>
      </c>
      <c r="G293" t="s">
        <v>137</v>
      </c>
    </row>
    <row r="294" spans="1:7" x14ac:dyDescent="0.2">
      <c r="A294" s="5">
        <v>46082</v>
      </c>
      <c r="B294" t="s">
        <v>134</v>
      </c>
      <c r="C294" t="s">
        <v>110</v>
      </c>
      <c r="D294" t="s">
        <v>79</v>
      </c>
      <c r="F294" s="6">
        <v>7426</v>
      </c>
      <c r="G294" t="s">
        <v>137</v>
      </c>
    </row>
    <row r="295" spans="1:7" x14ac:dyDescent="0.2">
      <c r="A295" s="5">
        <v>46082</v>
      </c>
      <c r="B295" t="s">
        <v>134</v>
      </c>
      <c r="C295" t="s">
        <v>110</v>
      </c>
      <c r="D295" t="s">
        <v>87</v>
      </c>
      <c r="F295" s="6">
        <v>5569</v>
      </c>
      <c r="G295" t="s">
        <v>137</v>
      </c>
    </row>
    <row r="296" spans="1:7" x14ac:dyDescent="0.2">
      <c r="A296" s="5">
        <v>46082</v>
      </c>
      <c r="B296" t="s">
        <v>134</v>
      </c>
      <c r="C296" t="s">
        <v>110</v>
      </c>
      <c r="D296" t="s">
        <v>89</v>
      </c>
      <c r="F296" s="6">
        <v>31559</v>
      </c>
      <c r="G296" t="s">
        <v>137</v>
      </c>
    </row>
    <row r="297" spans="1:7" x14ac:dyDescent="0.2">
      <c r="A297" s="5">
        <v>46082</v>
      </c>
      <c r="B297" t="s">
        <v>134</v>
      </c>
      <c r="C297" t="s">
        <v>110</v>
      </c>
      <c r="D297" t="s">
        <v>91</v>
      </c>
      <c r="F297" s="6">
        <v>3713</v>
      </c>
      <c r="G297" t="s">
        <v>137</v>
      </c>
    </row>
    <row r="298" spans="1:7" x14ac:dyDescent="0.2">
      <c r="A298" s="5">
        <v>46082</v>
      </c>
      <c r="B298" t="s">
        <v>134</v>
      </c>
      <c r="C298" t="s">
        <v>114</v>
      </c>
      <c r="D298" t="s">
        <v>67</v>
      </c>
      <c r="F298" s="6">
        <v>49980</v>
      </c>
      <c r="G298" t="s">
        <v>137</v>
      </c>
    </row>
    <row r="299" spans="1:7" x14ac:dyDescent="0.2">
      <c r="A299" s="5">
        <v>46082</v>
      </c>
      <c r="B299" t="s">
        <v>134</v>
      </c>
      <c r="C299" t="s">
        <v>114</v>
      </c>
      <c r="D299" t="s">
        <v>71</v>
      </c>
      <c r="F299" s="6">
        <v>10996</v>
      </c>
      <c r="G299" t="s">
        <v>137</v>
      </c>
    </row>
    <row r="300" spans="1:7" x14ac:dyDescent="0.2">
      <c r="A300" s="5">
        <v>46082</v>
      </c>
      <c r="B300" t="s">
        <v>134</v>
      </c>
      <c r="C300" t="s">
        <v>114</v>
      </c>
      <c r="D300" t="s">
        <v>75</v>
      </c>
      <c r="F300" s="6">
        <v>4998</v>
      </c>
      <c r="G300" t="s">
        <v>137</v>
      </c>
    </row>
    <row r="301" spans="1:7" x14ac:dyDescent="0.2">
      <c r="A301" s="5">
        <v>46082</v>
      </c>
      <c r="B301" t="s">
        <v>134</v>
      </c>
      <c r="C301" t="s">
        <v>114</v>
      </c>
      <c r="D301" t="s">
        <v>76</v>
      </c>
      <c r="F301" s="6">
        <v>2999</v>
      </c>
      <c r="G301" t="s">
        <v>137</v>
      </c>
    </row>
    <row r="302" spans="1:7" x14ac:dyDescent="0.2">
      <c r="A302" s="5">
        <v>46082</v>
      </c>
      <c r="B302" t="s">
        <v>134</v>
      </c>
      <c r="C302" t="s">
        <v>114</v>
      </c>
      <c r="D302" t="s">
        <v>79</v>
      </c>
      <c r="F302" s="6">
        <v>1999</v>
      </c>
      <c r="G302" t="s">
        <v>137</v>
      </c>
    </row>
    <row r="303" spans="1:7" x14ac:dyDescent="0.2">
      <c r="A303" s="5">
        <v>46082</v>
      </c>
      <c r="B303" t="s">
        <v>134</v>
      </c>
      <c r="C303" t="s">
        <v>114</v>
      </c>
      <c r="D303" t="s">
        <v>87</v>
      </c>
      <c r="F303" s="6">
        <v>1499</v>
      </c>
      <c r="G303" t="s">
        <v>137</v>
      </c>
    </row>
    <row r="304" spans="1:7" x14ac:dyDescent="0.2">
      <c r="A304" s="5">
        <v>46082</v>
      </c>
      <c r="B304" t="s">
        <v>134</v>
      </c>
      <c r="C304" t="s">
        <v>114</v>
      </c>
      <c r="D304" t="s">
        <v>91</v>
      </c>
      <c r="F304" s="6">
        <v>1000</v>
      </c>
      <c r="G304" t="s">
        <v>137</v>
      </c>
    </row>
    <row r="305" spans="1:7" x14ac:dyDescent="0.2">
      <c r="A305" s="5">
        <v>46082</v>
      </c>
      <c r="B305" t="s">
        <v>134</v>
      </c>
      <c r="C305" t="s">
        <v>118</v>
      </c>
      <c r="D305" t="s">
        <v>67</v>
      </c>
      <c r="F305" s="6">
        <v>78540</v>
      </c>
      <c r="G305" t="s">
        <v>137</v>
      </c>
    </row>
    <row r="306" spans="1:7" x14ac:dyDescent="0.2">
      <c r="A306" s="5">
        <v>46082</v>
      </c>
      <c r="B306" t="s">
        <v>134</v>
      </c>
      <c r="C306" t="s">
        <v>118</v>
      </c>
      <c r="D306" t="s">
        <v>71</v>
      </c>
      <c r="F306" s="6">
        <v>17279</v>
      </c>
      <c r="G306" t="s">
        <v>137</v>
      </c>
    </row>
    <row r="307" spans="1:7" x14ac:dyDescent="0.2">
      <c r="A307" s="5">
        <v>46082</v>
      </c>
      <c r="B307" t="s">
        <v>134</v>
      </c>
      <c r="C307" t="s">
        <v>118</v>
      </c>
      <c r="D307" t="s">
        <v>75</v>
      </c>
      <c r="F307" s="6">
        <v>7854</v>
      </c>
      <c r="G307" t="s">
        <v>137</v>
      </c>
    </row>
    <row r="308" spans="1:7" x14ac:dyDescent="0.2">
      <c r="A308" s="5">
        <v>46082</v>
      </c>
      <c r="B308" t="s">
        <v>134</v>
      </c>
      <c r="C308" t="s">
        <v>118</v>
      </c>
      <c r="D308" t="s">
        <v>76</v>
      </c>
      <c r="F308" s="6">
        <v>4712</v>
      </c>
      <c r="G308" t="s">
        <v>137</v>
      </c>
    </row>
    <row r="309" spans="1:7" x14ac:dyDescent="0.2">
      <c r="A309" s="5">
        <v>46082</v>
      </c>
      <c r="B309" t="s">
        <v>134</v>
      </c>
      <c r="C309" t="s">
        <v>118</v>
      </c>
      <c r="D309" t="s">
        <v>79</v>
      </c>
      <c r="F309" s="6">
        <v>3142</v>
      </c>
      <c r="G309" t="s">
        <v>137</v>
      </c>
    </row>
    <row r="310" spans="1:7" x14ac:dyDescent="0.2">
      <c r="A310" s="5">
        <v>46082</v>
      </c>
      <c r="B310" t="s">
        <v>134</v>
      </c>
      <c r="C310" t="s">
        <v>118</v>
      </c>
      <c r="D310" t="s">
        <v>83</v>
      </c>
      <c r="F310" s="6">
        <v>45553</v>
      </c>
      <c r="G310" t="s">
        <v>137</v>
      </c>
    </row>
    <row r="311" spans="1:7" x14ac:dyDescent="0.2">
      <c r="A311" s="5">
        <v>46082</v>
      </c>
      <c r="B311" t="s">
        <v>134</v>
      </c>
      <c r="C311" t="s">
        <v>118</v>
      </c>
      <c r="D311" t="s">
        <v>85</v>
      </c>
      <c r="F311" s="6">
        <v>25133</v>
      </c>
      <c r="G311" t="s">
        <v>137</v>
      </c>
    </row>
    <row r="312" spans="1:7" x14ac:dyDescent="0.2">
      <c r="A312" s="5">
        <v>46082</v>
      </c>
      <c r="B312" t="s">
        <v>134</v>
      </c>
      <c r="C312" t="s">
        <v>118</v>
      </c>
      <c r="D312" t="s">
        <v>87</v>
      </c>
      <c r="F312" s="6">
        <v>2356</v>
      </c>
      <c r="G312" t="s">
        <v>137</v>
      </c>
    </row>
    <row r="313" spans="1:7" x14ac:dyDescent="0.2">
      <c r="A313" s="5">
        <v>46082</v>
      </c>
      <c r="B313" t="s">
        <v>134</v>
      </c>
      <c r="C313" t="s">
        <v>118</v>
      </c>
      <c r="D313" t="s">
        <v>91</v>
      </c>
      <c r="F313" s="6">
        <v>1571</v>
      </c>
      <c r="G313" t="s">
        <v>137</v>
      </c>
    </row>
    <row r="314" spans="1:7" x14ac:dyDescent="0.2">
      <c r="A314" s="5">
        <v>46113</v>
      </c>
      <c r="B314" t="s">
        <v>129</v>
      </c>
      <c r="C314" t="s">
        <v>122</v>
      </c>
      <c r="D314" t="s">
        <v>54</v>
      </c>
      <c r="E314" t="s">
        <v>130</v>
      </c>
      <c r="F314" s="6">
        <v>1793442</v>
      </c>
      <c r="G314" t="s">
        <v>137</v>
      </c>
    </row>
    <row r="315" spans="1:7" x14ac:dyDescent="0.2">
      <c r="A315" s="5">
        <v>46113</v>
      </c>
      <c r="B315" t="s">
        <v>129</v>
      </c>
      <c r="C315" t="s">
        <v>122</v>
      </c>
      <c r="D315" t="s">
        <v>54</v>
      </c>
      <c r="E315" t="s">
        <v>132</v>
      </c>
      <c r="F315" s="6">
        <v>965699</v>
      </c>
      <c r="G315" t="s">
        <v>137</v>
      </c>
    </row>
    <row r="316" spans="1:7" x14ac:dyDescent="0.2">
      <c r="A316" s="5">
        <v>46113</v>
      </c>
      <c r="B316" t="s">
        <v>129</v>
      </c>
      <c r="C316" t="s">
        <v>122</v>
      </c>
      <c r="D316" t="s">
        <v>58</v>
      </c>
      <c r="E316" t="s">
        <v>133</v>
      </c>
      <c r="F316" s="6">
        <v>275914</v>
      </c>
      <c r="G316" t="s">
        <v>137</v>
      </c>
    </row>
    <row r="317" spans="1:7" x14ac:dyDescent="0.2">
      <c r="A317" s="5">
        <v>46113</v>
      </c>
      <c r="B317" t="s">
        <v>129</v>
      </c>
      <c r="C317" t="s">
        <v>97</v>
      </c>
      <c r="D317" t="s">
        <v>67</v>
      </c>
      <c r="F317" s="6">
        <v>339900</v>
      </c>
      <c r="G317" t="s">
        <v>137</v>
      </c>
    </row>
    <row r="318" spans="1:7" x14ac:dyDescent="0.2">
      <c r="A318" s="5">
        <v>46113</v>
      </c>
      <c r="B318" t="s">
        <v>129</v>
      </c>
      <c r="C318" t="s">
        <v>97</v>
      </c>
      <c r="D318" t="s">
        <v>71</v>
      </c>
      <c r="F318" s="6">
        <v>74778</v>
      </c>
      <c r="G318" t="s">
        <v>137</v>
      </c>
    </row>
    <row r="319" spans="1:7" x14ac:dyDescent="0.2">
      <c r="A319" s="5">
        <v>46113</v>
      </c>
      <c r="B319" t="s">
        <v>129</v>
      </c>
      <c r="C319" t="s">
        <v>97</v>
      </c>
      <c r="D319" t="s">
        <v>73</v>
      </c>
      <c r="F319" s="6">
        <v>118965</v>
      </c>
      <c r="G319" t="s">
        <v>137</v>
      </c>
    </row>
    <row r="320" spans="1:7" x14ac:dyDescent="0.2">
      <c r="A320" s="5">
        <v>46113</v>
      </c>
      <c r="B320" t="s">
        <v>129</v>
      </c>
      <c r="C320" t="s">
        <v>97</v>
      </c>
      <c r="D320" t="s">
        <v>75</v>
      </c>
      <c r="F320" s="6">
        <v>33990</v>
      </c>
      <c r="G320" t="s">
        <v>137</v>
      </c>
    </row>
    <row r="321" spans="1:7" x14ac:dyDescent="0.2">
      <c r="A321" s="5">
        <v>46113</v>
      </c>
      <c r="B321" t="s">
        <v>129</v>
      </c>
      <c r="C321" t="s">
        <v>97</v>
      </c>
      <c r="D321" t="s">
        <v>76</v>
      </c>
      <c r="F321" s="6">
        <v>20394</v>
      </c>
      <c r="G321" t="s">
        <v>137</v>
      </c>
    </row>
    <row r="322" spans="1:7" x14ac:dyDescent="0.2">
      <c r="A322" s="5">
        <v>46113</v>
      </c>
      <c r="B322" t="s">
        <v>129</v>
      </c>
      <c r="C322" t="s">
        <v>97</v>
      </c>
      <c r="D322" t="s">
        <v>79</v>
      </c>
      <c r="F322" s="6">
        <v>27192</v>
      </c>
      <c r="G322" t="s">
        <v>137</v>
      </c>
    </row>
    <row r="323" spans="1:7" x14ac:dyDescent="0.2">
      <c r="A323" s="5">
        <v>46113</v>
      </c>
      <c r="B323" t="s">
        <v>129</v>
      </c>
      <c r="C323" t="s">
        <v>97</v>
      </c>
      <c r="D323" t="s">
        <v>87</v>
      </c>
      <c r="F323" s="6">
        <v>10197</v>
      </c>
      <c r="G323" t="s">
        <v>137</v>
      </c>
    </row>
    <row r="324" spans="1:7" x14ac:dyDescent="0.2">
      <c r="A324" s="5">
        <v>46113</v>
      </c>
      <c r="B324" t="s">
        <v>129</v>
      </c>
      <c r="C324" t="s">
        <v>97</v>
      </c>
      <c r="D324" t="s">
        <v>91</v>
      </c>
      <c r="F324" s="6">
        <v>6798</v>
      </c>
      <c r="G324" t="s">
        <v>137</v>
      </c>
    </row>
    <row r="325" spans="1:7" x14ac:dyDescent="0.2">
      <c r="A325" s="5">
        <v>46113</v>
      </c>
      <c r="B325" t="s">
        <v>129</v>
      </c>
      <c r="C325" t="s">
        <v>102</v>
      </c>
      <c r="D325" t="s">
        <v>67</v>
      </c>
      <c r="F325" s="6">
        <v>154500</v>
      </c>
      <c r="G325" t="s">
        <v>137</v>
      </c>
    </row>
    <row r="326" spans="1:7" x14ac:dyDescent="0.2">
      <c r="A326" s="5">
        <v>46113</v>
      </c>
      <c r="B326" t="s">
        <v>129</v>
      </c>
      <c r="C326" t="s">
        <v>102</v>
      </c>
      <c r="D326" t="s">
        <v>71</v>
      </c>
      <c r="F326" s="6">
        <v>33990</v>
      </c>
      <c r="G326" t="s">
        <v>137</v>
      </c>
    </row>
    <row r="327" spans="1:7" x14ac:dyDescent="0.2">
      <c r="A327" s="5">
        <v>46113</v>
      </c>
      <c r="B327" t="s">
        <v>129</v>
      </c>
      <c r="C327" t="s">
        <v>102</v>
      </c>
      <c r="D327" t="s">
        <v>75</v>
      </c>
      <c r="F327" s="6">
        <v>15450</v>
      </c>
      <c r="G327" t="s">
        <v>137</v>
      </c>
    </row>
    <row r="328" spans="1:7" x14ac:dyDescent="0.2">
      <c r="A328" s="5">
        <v>46113</v>
      </c>
      <c r="B328" t="s">
        <v>129</v>
      </c>
      <c r="C328" t="s">
        <v>102</v>
      </c>
      <c r="D328" t="s">
        <v>76</v>
      </c>
      <c r="F328" s="6">
        <v>9270</v>
      </c>
      <c r="G328" t="s">
        <v>137</v>
      </c>
    </row>
    <row r="329" spans="1:7" x14ac:dyDescent="0.2">
      <c r="A329" s="5">
        <v>46113</v>
      </c>
      <c r="B329" t="s">
        <v>129</v>
      </c>
      <c r="C329" t="s">
        <v>102</v>
      </c>
      <c r="D329" t="s">
        <v>79</v>
      </c>
      <c r="F329" s="6">
        <v>12360</v>
      </c>
      <c r="G329" t="s">
        <v>137</v>
      </c>
    </row>
    <row r="330" spans="1:7" x14ac:dyDescent="0.2">
      <c r="A330" s="5">
        <v>46113</v>
      </c>
      <c r="B330" t="s">
        <v>129</v>
      </c>
      <c r="C330" t="s">
        <v>102</v>
      </c>
      <c r="D330" t="s">
        <v>81</v>
      </c>
      <c r="F330" s="6">
        <v>208575</v>
      </c>
      <c r="G330" t="s">
        <v>137</v>
      </c>
    </row>
    <row r="331" spans="1:7" x14ac:dyDescent="0.2">
      <c r="A331" s="5">
        <v>46113</v>
      </c>
      <c r="B331" t="s">
        <v>129</v>
      </c>
      <c r="C331" t="s">
        <v>102</v>
      </c>
      <c r="D331" t="s">
        <v>87</v>
      </c>
      <c r="F331" s="6">
        <v>4635</v>
      </c>
      <c r="G331" t="s">
        <v>137</v>
      </c>
    </row>
    <row r="332" spans="1:7" x14ac:dyDescent="0.2">
      <c r="A332" s="5">
        <v>46113</v>
      </c>
      <c r="B332" t="s">
        <v>129</v>
      </c>
      <c r="C332" t="s">
        <v>102</v>
      </c>
      <c r="D332" t="s">
        <v>91</v>
      </c>
      <c r="F332" s="6">
        <v>3090</v>
      </c>
      <c r="G332" t="s">
        <v>137</v>
      </c>
    </row>
    <row r="333" spans="1:7" x14ac:dyDescent="0.2">
      <c r="A333" s="5">
        <v>46113</v>
      </c>
      <c r="B333" t="s">
        <v>129</v>
      </c>
      <c r="C333" t="s">
        <v>106</v>
      </c>
      <c r="D333" t="s">
        <v>65</v>
      </c>
      <c r="F333" s="6">
        <v>70040</v>
      </c>
      <c r="G333" t="s">
        <v>137</v>
      </c>
    </row>
    <row r="334" spans="1:7" x14ac:dyDescent="0.2">
      <c r="A334" s="5">
        <v>46113</v>
      </c>
      <c r="B334" t="s">
        <v>129</v>
      </c>
      <c r="C334" t="s">
        <v>106</v>
      </c>
      <c r="D334" t="s">
        <v>67</v>
      </c>
      <c r="F334" s="6">
        <v>175100</v>
      </c>
      <c r="G334" t="s">
        <v>137</v>
      </c>
    </row>
    <row r="335" spans="1:7" x14ac:dyDescent="0.2">
      <c r="A335" s="5">
        <v>46113</v>
      </c>
      <c r="B335" t="s">
        <v>129</v>
      </c>
      <c r="C335" t="s">
        <v>106</v>
      </c>
      <c r="D335" t="s">
        <v>71</v>
      </c>
      <c r="F335" s="6">
        <v>38522</v>
      </c>
      <c r="G335" t="s">
        <v>137</v>
      </c>
    </row>
    <row r="336" spans="1:7" x14ac:dyDescent="0.2">
      <c r="A336" s="5">
        <v>46113</v>
      </c>
      <c r="B336" t="s">
        <v>129</v>
      </c>
      <c r="C336" t="s">
        <v>106</v>
      </c>
      <c r="D336" t="s">
        <v>75</v>
      </c>
      <c r="F336" s="6">
        <v>17510</v>
      </c>
      <c r="G336" t="s">
        <v>137</v>
      </c>
    </row>
    <row r="337" spans="1:7" x14ac:dyDescent="0.2">
      <c r="A337" s="5">
        <v>46113</v>
      </c>
      <c r="B337" t="s">
        <v>129</v>
      </c>
      <c r="C337" t="s">
        <v>106</v>
      </c>
      <c r="D337" t="s">
        <v>76</v>
      </c>
      <c r="F337" s="6">
        <v>10506</v>
      </c>
      <c r="G337" t="s">
        <v>137</v>
      </c>
    </row>
    <row r="338" spans="1:7" x14ac:dyDescent="0.2">
      <c r="A338" s="5">
        <v>46113</v>
      </c>
      <c r="B338" t="s">
        <v>129</v>
      </c>
      <c r="C338" t="s">
        <v>106</v>
      </c>
      <c r="D338" t="s">
        <v>79</v>
      </c>
      <c r="F338" s="6">
        <v>7004</v>
      </c>
      <c r="G338" t="s">
        <v>137</v>
      </c>
    </row>
    <row r="339" spans="1:7" x14ac:dyDescent="0.2">
      <c r="A339" s="5">
        <v>46113</v>
      </c>
      <c r="B339" t="s">
        <v>129</v>
      </c>
      <c r="C339" t="s">
        <v>106</v>
      </c>
      <c r="D339" t="s">
        <v>87</v>
      </c>
      <c r="F339" s="6">
        <v>5253</v>
      </c>
      <c r="G339" t="s">
        <v>137</v>
      </c>
    </row>
    <row r="340" spans="1:7" x14ac:dyDescent="0.2">
      <c r="A340" s="5">
        <v>46113</v>
      </c>
      <c r="B340" t="s">
        <v>129</v>
      </c>
      <c r="C340" t="s">
        <v>106</v>
      </c>
      <c r="D340" t="s">
        <v>91</v>
      </c>
      <c r="F340" s="6">
        <v>3502</v>
      </c>
      <c r="G340" t="s">
        <v>137</v>
      </c>
    </row>
    <row r="341" spans="1:7" x14ac:dyDescent="0.2">
      <c r="A341" s="5">
        <v>46113</v>
      </c>
      <c r="B341" t="s">
        <v>129</v>
      </c>
      <c r="C341" t="s">
        <v>110</v>
      </c>
      <c r="D341" t="s">
        <v>61</v>
      </c>
      <c r="F341" s="6">
        <v>535600</v>
      </c>
      <c r="G341" t="s">
        <v>137</v>
      </c>
    </row>
    <row r="342" spans="1:7" x14ac:dyDescent="0.2">
      <c r="A342" s="5">
        <v>46113</v>
      </c>
      <c r="B342" t="s">
        <v>129</v>
      </c>
      <c r="C342" t="s">
        <v>110</v>
      </c>
      <c r="D342" t="s">
        <v>67</v>
      </c>
      <c r="F342" s="6">
        <v>535600</v>
      </c>
      <c r="G342" t="s">
        <v>137</v>
      </c>
    </row>
    <row r="343" spans="1:7" x14ac:dyDescent="0.2">
      <c r="A343" s="5">
        <v>46113</v>
      </c>
      <c r="B343" t="s">
        <v>129</v>
      </c>
      <c r="C343" t="s">
        <v>110</v>
      </c>
      <c r="D343" t="s">
        <v>71</v>
      </c>
      <c r="F343" s="6">
        <v>117832</v>
      </c>
      <c r="G343" t="s">
        <v>137</v>
      </c>
    </row>
    <row r="344" spans="1:7" x14ac:dyDescent="0.2">
      <c r="A344" s="5">
        <v>46113</v>
      </c>
      <c r="B344" t="s">
        <v>129</v>
      </c>
      <c r="C344" t="s">
        <v>110</v>
      </c>
      <c r="D344" t="s">
        <v>75</v>
      </c>
      <c r="F344" s="6">
        <v>53560</v>
      </c>
      <c r="G344" t="s">
        <v>137</v>
      </c>
    </row>
    <row r="345" spans="1:7" x14ac:dyDescent="0.2">
      <c r="A345" s="5">
        <v>46113</v>
      </c>
      <c r="B345" t="s">
        <v>129</v>
      </c>
      <c r="C345" t="s">
        <v>110</v>
      </c>
      <c r="D345" t="s">
        <v>76</v>
      </c>
      <c r="F345" s="6">
        <v>32136</v>
      </c>
      <c r="G345" t="s">
        <v>137</v>
      </c>
    </row>
    <row r="346" spans="1:7" x14ac:dyDescent="0.2">
      <c r="A346" s="5">
        <v>46113</v>
      </c>
      <c r="B346" t="s">
        <v>129</v>
      </c>
      <c r="C346" t="s">
        <v>110</v>
      </c>
      <c r="D346" t="s">
        <v>79</v>
      </c>
      <c r="F346" s="6">
        <v>21424</v>
      </c>
      <c r="G346" t="s">
        <v>137</v>
      </c>
    </row>
    <row r="347" spans="1:7" x14ac:dyDescent="0.2">
      <c r="A347" s="5">
        <v>46113</v>
      </c>
      <c r="B347" t="s">
        <v>129</v>
      </c>
      <c r="C347" t="s">
        <v>110</v>
      </c>
      <c r="D347" t="s">
        <v>87</v>
      </c>
      <c r="F347" s="6">
        <v>16068</v>
      </c>
      <c r="G347" t="s">
        <v>137</v>
      </c>
    </row>
    <row r="348" spans="1:7" x14ac:dyDescent="0.2">
      <c r="A348" s="5">
        <v>46113</v>
      </c>
      <c r="B348" t="s">
        <v>129</v>
      </c>
      <c r="C348" t="s">
        <v>110</v>
      </c>
      <c r="D348" t="s">
        <v>89</v>
      </c>
      <c r="F348" s="6">
        <v>91052</v>
      </c>
      <c r="G348" t="s">
        <v>137</v>
      </c>
    </row>
    <row r="349" spans="1:7" x14ac:dyDescent="0.2">
      <c r="A349" s="5">
        <v>46113</v>
      </c>
      <c r="B349" t="s">
        <v>129</v>
      </c>
      <c r="C349" t="s">
        <v>110</v>
      </c>
      <c r="D349" t="s">
        <v>91</v>
      </c>
      <c r="F349" s="6">
        <v>10712</v>
      </c>
      <c r="G349" t="s">
        <v>137</v>
      </c>
    </row>
    <row r="350" spans="1:7" x14ac:dyDescent="0.2">
      <c r="A350" s="5">
        <v>46113</v>
      </c>
      <c r="B350" t="s">
        <v>129</v>
      </c>
      <c r="C350" t="s">
        <v>114</v>
      </c>
      <c r="D350" t="s">
        <v>67</v>
      </c>
      <c r="F350" s="6">
        <v>144200</v>
      </c>
      <c r="G350" t="s">
        <v>137</v>
      </c>
    </row>
    <row r="351" spans="1:7" x14ac:dyDescent="0.2">
      <c r="A351" s="5">
        <v>46113</v>
      </c>
      <c r="B351" t="s">
        <v>129</v>
      </c>
      <c r="C351" t="s">
        <v>114</v>
      </c>
      <c r="D351" t="s">
        <v>71</v>
      </c>
      <c r="F351" s="6">
        <v>31724</v>
      </c>
      <c r="G351" t="s">
        <v>137</v>
      </c>
    </row>
    <row r="352" spans="1:7" x14ac:dyDescent="0.2">
      <c r="A352" s="5">
        <v>46113</v>
      </c>
      <c r="B352" t="s">
        <v>129</v>
      </c>
      <c r="C352" t="s">
        <v>114</v>
      </c>
      <c r="D352" t="s">
        <v>75</v>
      </c>
      <c r="F352" s="6">
        <v>14420</v>
      </c>
      <c r="G352" t="s">
        <v>137</v>
      </c>
    </row>
    <row r="353" spans="1:7" x14ac:dyDescent="0.2">
      <c r="A353" s="5">
        <v>46113</v>
      </c>
      <c r="B353" t="s">
        <v>129</v>
      </c>
      <c r="C353" t="s">
        <v>114</v>
      </c>
      <c r="D353" t="s">
        <v>76</v>
      </c>
      <c r="F353" s="6">
        <v>8652</v>
      </c>
      <c r="G353" t="s">
        <v>137</v>
      </c>
    </row>
    <row r="354" spans="1:7" x14ac:dyDescent="0.2">
      <c r="A354" s="5">
        <v>46113</v>
      </c>
      <c r="B354" t="s">
        <v>129</v>
      </c>
      <c r="C354" t="s">
        <v>114</v>
      </c>
      <c r="D354" t="s">
        <v>79</v>
      </c>
      <c r="F354" s="6">
        <v>5768</v>
      </c>
      <c r="G354" t="s">
        <v>137</v>
      </c>
    </row>
    <row r="355" spans="1:7" x14ac:dyDescent="0.2">
      <c r="A355" s="5">
        <v>46113</v>
      </c>
      <c r="B355" t="s">
        <v>129</v>
      </c>
      <c r="C355" t="s">
        <v>114</v>
      </c>
      <c r="D355" t="s">
        <v>87</v>
      </c>
      <c r="F355" s="6">
        <v>4326</v>
      </c>
      <c r="G355" t="s">
        <v>137</v>
      </c>
    </row>
    <row r="356" spans="1:7" x14ac:dyDescent="0.2">
      <c r="A356" s="5">
        <v>46113</v>
      </c>
      <c r="B356" t="s">
        <v>129</v>
      </c>
      <c r="C356" t="s">
        <v>114</v>
      </c>
      <c r="D356" t="s">
        <v>91</v>
      </c>
      <c r="F356" s="6">
        <v>2884</v>
      </c>
      <c r="G356" t="s">
        <v>137</v>
      </c>
    </row>
    <row r="357" spans="1:7" x14ac:dyDescent="0.2">
      <c r="A357" s="5">
        <v>46113</v>
      </c>
      <c r="B357" t="s">
        <v>129</v>
      </c>
      <c r="C357" t="s">
        <v>118</v>
      </c>
      <c r="D357" t="s">
        <v>67</v>
      </c>
      <c r="F357" s="6">
        <v>226600</v>
      </c>
      <c r="G357" t="s">
        <v>137</v>
      </c>
    </row>
    <row r="358" spans="1:7" x14ac:dyDescent="0.2">
      <c r="A358" s="5">
        <v>46113</v>
      </c>
      <c r="B358" t="s">
        <v>129</v>
      </c>
      <c r="C358" t="s">
        <v>118</v>
      </c>
      <c r="D358" t="s">
        <v>71</v>
      </c>
      <c r="F358" s="6">
        <v>49852</v>
      </c>
      <c r="G358" t="s">
        <v>137</v>
      </c>
    </row>
    <row r="359" spans="1:7" x14ac:dyDescent="0.2">
      <c r="A359" s="5">
        <v>46113</v>
      </c>
      <c r="B359" t="s">
        <v>129</v>
      </c>
      <c r="C359" t="s">
        <v>118</v>
      </c>
      <c r="D359" t="s">
        <v>75</v>
      </c>
      <c r="F359" s="6">
        <v>22660</v>
      </c>
      <c r="G359" t="s">
        <v>137</v>
      </c>
    </row>
    <row r="360" spans="1:7" x14ac:dyDescent="0.2">
      <c r="A360" s="5">
        <v>46113</v>
      </c>
      <c r="B360" t="s">
        <v>129</v>
      </c>
      <c r="C360" t="s">
        <v>118</v>
      </c>
      <c r="D360" t="s">
        <v>76</v>
      </c>
      <c r="F360" s="6">
        <v>13596</v>
      </c>
      <c r="G360" t="s">
        <v>137</v>
      </c>
    </row>
    <row r="361" spans="1:7" x14ac:dyDescent="0.2">
      <c r="A361" s="5">
        <v>46113</v>
      </c>
      <c r="B361" t="s">
        <v>129</v>
      </c>
      <c r="C361" t="s">
        <v>118</v>
      </c>
      <c r="D361" t="s">
        <v>79</v>
      </c>
      <c r="F361" s="6">
        <v>9064</v>
      </c>
      <c r="G361" t="s">
        <v>137</v>
      </c>
    </row>
    <row r="362" spans="1:7" x14ac:dyDescent="0.2">
      <c r="A362" s="5">
        <v>46113</v>
      </c>
      <c r="B362" t="s">
        <v>129</v>
      </c>
      <c r="C362" t="s">
        <v>118</v>
      </c>
      <c r="D362" t="s">
        <v>83</v>
      </c>
      <c r="F362" s="6">
        <v>131428</v>
      </c>
      <c r="G362" t="s">
        <v>137</v>
      </c>
    </row>
    <row r="363" spans="1:7" x14ac:dyDescent="0.2">
      <c r="A363" s="5">
        <v>46113</v>
      </c>
      <c r="B363" t="s">
        <v>129</v>
      </c>
      <c r="C363" t="s">
        <v>118</v>
      </c>
      <c r="D363" t="s">
        <v>85</v>
      </c>
      <c r="F363" s="6">
        <v>72512</v>
      </c>
      <c r="G363" t="s">
        <v>137</v>
      </c>
    </row>
    <row r="364" spans="1:7" x14ac:dyDescent="0.2">
      <c r="A364" s="5">
        <v>46113</v>
      </c>
      <c r="B364" t="s">
        <v>129</v>
      </c>
      <c r="C364" t="s">
        <v>118</v>
      </c>
      <c r="D364" t="s">
        <v>87</v>
      </c>
      <c r="F364" s="6">
        <v>6798</v>
      </c>
      <c r="G364" t="s">
        <v>137</v>
      </c>
    </row>
    <row r="365" spans="1:7" x14ac:dyDescent="0.2">
      <c r="A365" s="5">
        <v>46113</v>
      </c>
      <c r="B365" t="s">
        <v>129</v>
      </c>
      <c r="C365" t="s">
        <v>118</v>
      </c>
      <c r="D365" t="s">
        <v>91</v>
      </c>
      <c r="F365" s="6">
        <v>4532</v>
      </c>
      <c r="G365" t="s">
        <v>137</v>
      </c>
    </row>
    <row r="366" spans="1:7" x14ac:dyDescent="0.2">
      <c r="A366" s="5">
        <v>46113</v>
      </c>
      <c r="B366" t="s">
        <v>134</v>
      </c>
      <c r="C366" t="s">
        <v>122</v>
      </c>
      <c r="D366" t="s">
        <v>54</v>
      </c>
      <c r="E366" t="s">
        <v>130</v>
      </c>
      <c r="F366" s="6">
        <v>627705</v>
      </c>
      <c r="G366" t="s">
        <v>137</v>
      </c>
    </row>
    <row r="367" spans="1:7" x14ac:dyDescent="0.2">
      <c r="A367" s="5">
        <v>46113</v>
      </c>
      <c r="B367" t="s">
        <v>134</v>
      </c>
      <c r="C367" t="s">
        <v>122</v>
      </c>
      <c r="D367" t="s">
        <v>54</v>
      </c>
      <c r="E367" t="s">
        <v>132</v>
      </c>
      <c r="F367" s="6">
        <v>337995</v>
      </c>
      <c r="G367" t="s">
        <v>137</v>
      </c>
    </row>
    <row r="368" spans="1:7" x14ac:dyDescent="0.2">
      <c r="A368" s="5">
        <v>46113</v>
      </c>
      <c r="B368" t="s">
        <v>134</v>
      </c>
      <c r="C368" t="s">
        <v>122</v>
      </c>
      <c r="D368" t="s">
        <v>58</v>
      </c>
      <c r="E368" t="s">
        <v>133</v>
      </c>
      <c r="F368" s="6">
        <v>96570</v>
      </c>
      <c r="G368" t="s">
        <v>137</v>
      </c>
    </row>
    <row r="369" spans="1:7" x14ac:dyDescent="0.2">
      <c r="A369" s="5">
        <v>46113</v>
      </c>
      <c r="B369" t="s">
        <v>134</v>
      </c>
      <c r="C369" t="s">
        <v>97</v>
      </c>
      <c r="D369" t="s">
        <v>67</v>
      </c>
      <c r="F369" s="6">
        <v>118965</v>
      </c>
      <c r="G369" t="s">
        <v>137</v>
      </c>
    </row>
    <row r="370" spans="1:7" x14ac:dyDescent="0.2">
      <c r="A370" s="5">
        <v>46113</v>
      </c>
      <c r="B370" t="s">
        <v>134</v>
      </c>
      <c r="C370" t="s">
        <v>97</v>
      </c>
      <c r="D370" t="s">
        <v>71</v>
      </c>
      <c r="F370" s="6">
        <v>26172</v>
      </c>
      <c r="G370" t="s">
        <v>137</v>
      </c>
    </row>
    <row r="371" spans="1:7" x14ac:dyDescent="0.2">
      <c r="A371" s="5">
        <v>46113</v>
      </c>
      <c r="B371" t="s">
        <v>134</v>
      </c>
      <c r="C371" t="s">
        <v>97</v>
      </c>
      <c r="D371" t="s">
        <v>73</v>
      </c>
      <c r="F371" s="6">
        <v>41638</v>
      </c>
      <c r="G371" t="s">
        <v>137</v>
      </c>
    </row>
    <row r="372" spans="1:7" x14ac:dyDescent="0.2">
      <c r="A372" s="5">
        <v>46113</v>
      </c>
      <c r="B372" t="s">
        <v>134</v>
      </c>
      <c r="C372" t="s">
        <v>97</v>
      </c>
      <c r="D372" t="s">
        <v>75</v>
      </c>
      <c r="F372" s="6">
        <v>11896</v>
      </c>
      <c r="G372" t="s">
        <v>137</v>
      </c>
    </row>
    <row r="373" spans="1:7" x14ac:dyDescent="0.2">
      <c r="A373" s="5">
        <v>46113</v>
      </c>
      <c r="B373" t="s">
        <v>134</v>
      </c>
      <c r="C373" t="s">
        <v>97</v>
      </c>
      <c r="D373" t="s">
        <v>76</v>
      </c>
      <c r="F373" s="6">
        <v>7138</v>
      </c>
      <c r="G373" t="s">
        <v>137</v>
      </c>
    </row>
    <row r="374" spans="1:7" x14ac:dyDescent="0.2">
      <c r="A374" s="5">
        <v>46113</v>
      </c>
      <c r="B374" t="s">
        <v>134</v>
      </c>
      <c r="C374" t="s">
        <v>97</v>
      </c>
      <c r="D374" t="s">
        <v>79</v>
      </c>
      <c r="F374" s="6">
        <v>9517</v>
      </c>
      <c r="G374" t="s">
        <v>137</v>
      </c>
    </row>
    <row r="375" spans="1:7" x14ac:dyDescent="0.2">
      <c r="A375" s="5">
        <v>46113</v>
      </c>
      <c r="B375" t="s">
        <v>134</v>
      </c>
      <c r="C375" t="s">
        <v>97</v>
      </c>
      <c r="D375" t="s">
        <v>87</v>
      </c>
      <c r="F375" s="6">
        <v>3569</v>
      </c>
      <c r="G375" t="s">
        <v>137</v>
      </c>
    </row>
    <row r="376" spans="1:7" x14ac:dyDescent="0.2">
      <c r="A376" s="5">
        <v>46113</v>
      </c>
      <c r="B376" t="s">
        <v>134</v>
      </c>
      <c r="C376" t="s">
        <v>97</v>
      </c>
      <c r="D376" t="s">
        <v>91</v>
      </c>
      <c r="F376" s="6">
        <v>2379</v>
      </c>
      <c r="G376" t="s">
        <v>137</v>
      </c>
    </row>
    <row r="377" spans="1:7" x14ac:dyDescent="0.2">
      <c r="A377" s="5">
        <v>46113</v>
      </c>
      <c r="B377" t="s">
        <v>134</v>
      </c>
      <c r="C377" t="s">
        <v>102</v>
      </c>
      <c r="D377" t="s">
        <v>67</v>
      </c>
      <c r="F377" s="6">
        <v>54075</v>
      </c>
      <c r="G377" t="s">
        <v>137</v>
      </c>
    </row>
    <row r="378" spans="1:7" x14ac:dyDescent="0.2">
      <c r="A378" s="5">
        <v>46113</v>
      </c>
      <c r="B378" t="s">
        <v>134</v>
      </c>
      <c r="C378" t="s">
        <v>102</v>
      </c>
      <c r="D378" t="s">
        <v>71</v>
      </c>
      <c r="F378" s="6">
        <v>11896</v>
      </c>
      <c r="G378" t="s">
        <v>137</v>
      </c>
    </row>
    <row r="379" spans="1:7" x14ac:dyDescent="0.2">
      <c r="A379" s="5">
        <v>46113</v>
      </c>
      <c r="B379" t="s">
        <v>134</v>
      </c>
      <c r="C379" t="s">
        <v>102</v>
      </c>
      <c r="D379" t="s">
        <v>75</v>
      </c>
      <c r="F379" s="6">
        <v>5408</v>
      </c>
      <c r="G379" t="s">
        <v>137</v>
      </c>
    </row>
    <row r="380" spans="1:7" x14ac:dyDescent="0.2">
      <c r="A380" s="5">
        <v>46113</v>
      </c>
      <c r="B380" t="s">
        <v>134</v>
      </c>
      <c r="C380" t="s">
        <v>102</v>
      </c>
      <c r="D380" t="s">
        <v>76</v>
      </c>
      <c r="F380" s="6">
        <v>3244</v>
      </c>
      <c r="G380" t="s">
        <v>137</v>
      </c>
    </row>
    <row r="381" spans="1:7" x14ac:dyDescent="0.2">
      <c r="A381" s="5">
        <v>46113</v>
      </c>
      <c r="B381" t="s">
        <v>134</v>
      </c>
      <c r="C381" t="s">
        <v>102</v>
      </c>
      <c r="D381" t="s">
        <v>79</v>
      </c>
      <c r="F381" s="6">
        <v>4326</v>
      </c>
      <c r="G381" t="s">
        <v>137</v>
      </c>
    </row>
    <row r="382" spans="1:7" x14ac:dyDescent="0.2">
      <c r="A382" s="5">
        <v>46113</v>
      </c>
      <c r="B382" t="s">
        <v>134</v>
      </c>
      <c r="C382" t="s">
        <v>102</v>
      </c>
      <c r="D382" t="s">
        <v>81</v>
      </c>
      <c r="F382" s="6">
        <v>73001</v>
      </c>
      <c r="G382" t="s">
        <v>137</v>
      </c>
    </row>
    <row r="383" spans="1:7" x14ac:dyDescent="0.2">
      <c r="A383" s="5">
        <v>46113</v>
      </c>
      <c r="B383" t="s">
        <v>134</v>
      </c>
      <c r="C383" t="s">
        <v>102</v>
      </c>
      <c r="D383" t="s">
        <v>87</v>
      </c>
      <c r="F383" s="6">
        <v>1622</v>
      </c>
      <c r="G383" t="s">
        <v>137</v>
      </c>
    </row>
    <row r="384" spans="1:7" x14ac:dyDescent="0.2">
      <c r="A384" s="5">
        <v>46113</v>
      </c>
      <c r="B384" t="s">
        <v>134</v>
      </c>
      <c r="C384" t="s">
        <v>102</v>
      </c>
      <c r="D384" t="s">
        <v>91</v>
      </c>
      <c r="F384" s="6">
        <v>1082</v>
      </c>
      <c r="G384" t="s">
        <v>137</v>
      </c>
    </row>
    <row r="385" spans="1:7" x14ac:dyDescent="0.2">
      <c r="A385" s="5">
        <v>46113</v>
      </c>
      <c r="B385" t="s">
        <v>134</v>
      </c>
      <c r="C385" t="s">
        <v>106</v>
      </c>
      <c r="D385" t="s">
        <v>65</v>
      </c>
      <c r="F385" s="6">
        <v>24514</v>
      </c>
      <c r="G385" t="s">
        <v>137</v>
      </c>
    </row>
    <row r="386" spans="1:7" x14ac:dyDescent="0.2">
      <c r="A386" s="5">
        <v>46113</v>
      </c>
      <c r="B386" t="s">
        <v>134</v>
      </c>
      <c r="C386" t="s">
        <v>106</v>
      </c>
      <c r="D386" t="s">
        <v>67</v>
      </c>
      <c r="F386" s="6">
        <v>61285</v>
      </c>
      <c r="G386" t="s">
        <v>137</v>
      </c>
    </row>
    <row r="387" spans="1:7" x14ac:dyDescent="0.2">
      <c r="A387" s="5">
        <v>46113</v>
      </c>
      <c r="B387" t="s">
        <v>134</v>
      </c>
      <c r="C387" t="s">
        <v>106</v>
      </c>
      <c r="D387" t="s">
        <v>71</v>
      </c>
      <c r="F387" s="6">
        <v>13483</v>
      </c>
      <c r="G387" t="s">
        <v>137</v>
      </c>
    </row>
    <row r="388" spans="1:7" x14ac:dyDescent="0.2">
      <c r="A388" s="5">
        <v>46113</v>
      </c>
      <c r="B388" t="s">
        <v>134</v>
      </c>
      <c r="C388" t="s">
        <v>106</v>
      </c>
      <c r="D388" t="s">
        <v>75</v>
      </c>
      <c r="F388" s="6">
        <v>6128</v>
      </c>
      <c r="G388" t="s">
        <v>137</v>
      </c>
    </row>
    <row r="389" spans="1:7" x14ac:dyDescent="0.2">
      <c r="A389" s="5">
        <v>46113</v>
      </c>
      <c r="B389" t="s">
        <v>134</v>
      </c>
      <c r="C389" t="s">
        <v>106</v>
      </c>
      <c r="D389" t="s">
        <v>76</v>
      </c>
      <c r="F389" s="6">
        <v>3677</v>
      </c>
      <c r="G389" t="s">
        <v>137</v>
      </c>
    </row>
    <row r="390" spans="1:7" x14ac:dyDescent="0.2">
      <c r="A390" s="5">
        <v>46113</v>
      </c>
      <c r="B390" t="s">
        <v>134</v>
      </c>
      <c r="C390" t="s">
        <v>106</v>
      </c>
      <c r="D390" t="s">
        <v>79</v>
      </c>
      <c r="F390" s="6">
        <v>2451</v>
      </c>
      <c r="G390" t="s">
        <v>137</v>
      </c>
    </row>
    <row r="391" spans="1:7" x14ac:dyDescent="0.2">
      <c r="A391" s="5">
        <v>46113</v>
      </c>
      <c r="B391" t="s">
        <v>134</v>
      </c>
      <c r="C391" t="s">
        <v>106</v>
      </c>
      <c r="D391" t="s">
        <v>87</v>
      </c>
      <c r="F391" s="6">
        <v>1839</v>
      </c>
      <c r="G391" t="s">
        <v>137</v>
      </c>
    </row>
    <row r="392" spans="1:7" x14ac:dyDescent="0.2">
      <c r="A392" s="5">
        <v>46113</v>
      </c>
      <c r="B392" t="s">
        <v>134</v>
      </c>
      <c r="C392" t="s">
        <v>106</v>
      </c>
      <c r="D392" t="s">
        <v>91</v>
      </c>
      <c r="F392" s="6">
        <v>1226</v>
      </c>
      <c r="G392" t="s">
        <v>137</v>
      </c>
    </row>
    <row r="393" spans="1:7" x14ac:dyDescent="0.2">
      <c r="A393" s="5">
        <v>46113</v>
      </c>
      <c r="B393" t="s">
        <v>134</v>
      </c>
      <c r="C393" t="s">
        <v>110</v>
      </c>
      <c r="D393" t="s">
        <v>61</v>
      </c>
      <c r="F393" s="6">
        <v>187460</v>
      </c>
      <c r="G393" t="s">
        <v>137</v>
      </c>
    </row>
    <row r="394" spans="1:7" x14ac:dyDescent="0.2">
      <c r="A394" s="5">
        <v>46113</v>
      </c>
      <c r="B394" t="s">
        <v>134</v>
      </c>
      <c r="C394" t="s">
        <v>110</v>
      </c>
      <c r="D394" t="s">
        <v>67</v>
      </c>
      <c r="F394" s="6">
        <v>187460</v>
      </c>
      <c r="G394" t="s">
        <v>137</v>
      </c>
    </row>
    <row r="395" spans="1:7" x14ac:dyDescent="0.2">
      <c r="A395" s="5">
        <v>46113</v>
      </c>
      <c r="B395" t="s">
        <v>134</v>
      </c>
      <c r="C395" t="s">
        <v>110</v>
      </c>
      <c r="D395" t="s">
        <v>71</v>
      </c>
      <c r="F395" s="6">
        <v>41241</v>
      </c>
      <c r="G395" t="s">
        <v>137</v>
      </c>
    </row>
    <row r="396" spans="1:7" x14ac:dyDescent="0.2">
      <c r="A396" s="5">
        <v>46113</v>
      </c>
      <c r="B396" t="s">
        <v>134</v>
      </c>
      <c r="C396" t="s">
        <v>110</v>
      </c>
      <c r="D396" t="s">
        <v>75</v>
      </c>
      <c r="F396" s="6">
        <v>18746</v>
      </c>
      <c r="G396" t="s">
        <v>137</v>
      </c>
    </row>
    <row r="397" spans="1:7" x14ac:dyDescent="0.2">
      <c r="A397" s="5">
        <v>46113</v>
      </c>
      <c r="B397" t="s">
        <v>134</v>
      </c>
      <c r="C397" t="s">
        <v>110</v>
      </c>
      <c r="D397" t="s">
        <v>76</v>
      </c>
      <c r="F397" s="6">
        <v>11248</v>
      </c>
      <c r="G397" t="s">
        <v>137</v>
      </c>
    </row>
    <row r="398" spans="1:7" x14ac:dyDescent="0.2">
      <c r="A398" s="5">
        <v>46113</v>
      </c>
      <c r="B398" t="s">
        <v>134</v>
      </c>
      <c r="C398" t="s">
        <v>110</v>
      </c>
      <c r="D398" t="s">
        <v>79</v>
      </c>
      <c r="F398" s="6">
        <v>7498</v>
      </c>
      <c r="G398" t="s">
        <v>137</v>
      </c>
    </row>
    <row r="399" spans="1:7" x14ac:dyDescent="0.2">
      <c r="A399" s="5">
        <v>46113</v>
      </c>
      <c r="B399" t="s">
        <v>134</v>
      </c>
      <c r="C399" t="s">
        <v>110</v>
      </c>
      <c r="D399" t="s">
        <v>87</v>
      </c>
      <c r="F399" s="6">
        <v>5624</v>
      </c>
      <c r="G399" t="s">
        <v>137</v>
      </c>
    </row>
    <row r="400" spans="1:7" x14ac:dyDescent="0.2">
      <c r="A400" s="5">
        <v>46113</v>
      </c>
      <c r="B400" t="s">
        <v>134</v>
      </c>
      <c r="C400" t="s">
        <v>110</v>
      </c>
      <c r="D400" t="s">
        <v>89</v>
      </c>
      <c r="F400" s="6">
        <v>31868</v>
      </c>
      <c r="G400" t="s">
        <v>137</v>
      </c>
    </row>
    <row r="401" spans="1:7" x14ac:dyDescent="0.2">
      <c r="A401" s="5">
        <v>46113</v>
      </c>
      <c r="B401" t="s">
        <v>134</v>
      </c>
      <c r="C401" t="s">
        <v>110</v>
      </c>
      <c r="D401" t="s">
        <v>91</v>
      </c>
      <c r="F401" s="6">
        <v>3749</v>
      </c>
      <c r="G401" t="s">
        <v>137</v>
      </c>
    </row>
    <row r="402" spans="1:7" x14ac:dyDescent="0.2">
      <c r="A402" s="5">
        <v>46113</v>
      </c>
      <c r="B402" t="s">
        <v>134</v>
      </c>
      <c r="C402" t="s">
        <v>114</v>
      </c>
      <c r="D402" t="s">
        <v>67</v>
      </c>
      <c r="F402" s="6">
        <v>50470</v>
      </c>
      <c r="G402" t="s">
        <v>137</v>
      </c>
    </row>
    <row r="403" spans="1:7" x14ac:dyDescent="0.2">
      <c r="A403" s="5">
        <v>46113</v>
      </c>
      <c r="B403" t="s">
        <v>134</v>
      </c>
      <c r="C403" t="s">
        <v>114</v>
      </c>
      <c r="D403" t="s">
        <v>71</v>
      </c>
      <c r="F403" s="6">
        <v>11103</v>
      </c>
      <c r="G403" t="s">
        <v>137</v>
      </c>
    </row>
    <row r="404" spans="1:7" x14ac:dyDescent="0.2">
      <c r="A404" s="5">
        <v>46113</v>
      </c>
      <c r="B404" t="s">
        <v>134</v>
      </c>
      <c r="C404" t="s">
        <v>114</v>
      </c>
      <c r="D404" t="s">
        <v>75</v>
      </c>
      <c r="F404" s="6">
        <v>5047</v>
      </c>
      <c r="G404" t="s">
        <v>137</v>
      </c>
    </row>
    <row r="405" spans="1:7" x14ac:dyDescent="0.2">
      <c r="A405" s="5">
        <v>46113</v>
      </c>
      <c r="B405" t="s">
        <v>134</v>
      </c>
      <c r="C405" t="s">
        <v>114</v>
      </c>
      <c r="D405" t="s">
        <v>76</v>
      </c>
      <c r="F405" s="6">
        <v>3028</v>
      </c>
      <c r="G405" t="s">
        <v>137</v>
      </c>
    </row>
    <row r="406" spans="1:7" x14ac:dyDescent="0.2">
      <c r="A406" s="5">
        <v>46113</v>
      </c>
      <c r="B406" t="s">
        <v>134</v>
      </c>
      <c r="C406" t="s">
        <v>114</v>
      </c>
      <c r="D406" t="s">
        <v>79</v>
      </c>
      <c r="F406" s="6">
        <v>2019</v>
      </c>
      <c r="G406" t="s">
        <v>137</v>
      </c>
    </row>
    <row r="407" spans="1:7" x14ac:dyDescent="0.2">
      <c r="A407" s="5">
        <v>46113</v>
      </c>
      <c r="B407" t="s">
        <v>134</v>
      </c>
      <c r="C407" t="s">
        <v>114</v>
      </c>
      <c r="D407" t="s">
        <v>87</v>
      </c>
      <c r="F407" s="6">
        <v>1514</v>
      </c>
      <c r="G407" t="s">
        <v>137</v>
      </c>
    </row>
    <row r="408" spans="1:7" x14ac:dyDescent="0.2">
      <c r="A408" s="5">
        <v>46113</v>
      </c>
      <c r="B408" t="s">
        <v>134</v>
      </c>
      <c r="C408" t="s">
        <v>114</v>
      </c>
      <c r="D408" t="s">
        <v>91</v>
      </c>
      <c r="F408" s="6">
        <v>1009</v>
      </c>
      <c r="G408" t="s">
        <v>137</v>
      </c>
    </row>
    <row r="409" spans="1:7" x14ac:dyDescent="0.2">
      <c r="A409" s="5">
        <v>46113</v>
      </c>
      <c r="B409" t="s">
        <v>134</v>
      </c>
      <c r="C409" t="s">
        <v>118</v>
      </c>
      <c r="D409" t="s">
        <v>67</v>
      </c>
      <c r="F409" s="6">
        <v>79310</v>
      </c>
      <c r="G409" t="s">
        <v>137</v>
      </c>
    </row>
    <row r="410" spans="1:7" x14ac:dyDescent="0.2">
      <c r="A410" s="5">
        <v>46113</v>
      </c>
      <c r="B410" t="s">
        <v>134</v>
      </c>
      <c r="C410" t="s">
        <v>118</v>
      </c>
      <c r="D410" t="s">
        <v>71</v>
      </c>
      <c r="F410" s="6">
        <v>17448</v>
      </c>
      <c r="G410" t="s">
        <v>137</v>
      </c>
    </row>
    <row r="411" spans="1:7" x14ac:dyDescent="0.2">
      <c r="A411" s="5">
        <v>46113</v>
      </c>
      <c r="B411" t="s">
        <v>134</v>
      </c>
      <c r="C411" t="s">
        <v>118</v>
      </c>
      <c r="D411" t="s">
        <v>75</v>
      </c>
      <c r="F411" s="6">
        <v>7931</v>
      </c>
      <c r="G411" t="s">
        <v>137</v>
      </c>
    </row>
    <row r="412" spans="1:7" x14ac:dyDescent="0.2">
      <c r="A412" s="5">
        <v>46113</v>
      </c>
      <c r="B412" t="s">
        <v>134</v>
      </c>
      <c r="C412" t="s">
        <v>118</v>
      </c>
      <c r="D412" t="s">
        <v>76</v>
      </c>
      <c r="F412" s="6">
        <v>4759</v>
      </c>
      <c r="G412" t="s">
        <v>137</v>
      </c>
    </row>
    <row r="413" spans="1:7" x14ac:dyDescent="0.2">
      <c r="A413" s="5">
        <v>46113</v>
      </c>
      <c r="B413" t="s">
        <v>134</v>
      </c>
      <c r="C413" t="s">
        <v>118</v>
      </c>
      <c r="D413" t="s">
        <v>79</v>
      </c>
      <c r="F413" s="6">
        <v>3172</v>
      </c>
      <c r="G413" t="s">
        <v>137</v>
      </c>
    </row>
    <row r="414" spans="1:7" x14ac:dyDescent="0.2">
      <c r="A414" s="5">
        <v>46113</v>
      </c>
      <c r="B414" t="s">
        <v>134</v>
      </c>
      <c r="C414" t="s">
        <v>118</v>
      </c>
      <c r="D414" t="s">
        <v>83</v>
      </c>
      <c r="F414" s="6">
        <v>46000</v>
      </c>
      <c r="G414" t="s">
        <v>137</v>
      </c>
    </row>
    <row r="415" spans="1:7" x14ac:dyDescent="0.2">
      <c r="A415" s="5">
        <v>46113</v>
      </c>
      <c r="B415" t="s">
        <v>134</v>
      </c>
      <c r="C415" t="s">
        <v>118</v>
      </c>
      <c r="D415" t="s">
        <v>85</v>
      </c>
      <c r="F415" s="6">
        <v>25379</v>
      </c>
      <c r="G415" t="s">
        <v>137</v>
      </c>
    </row>
    <row r="416" spans="1:7" x14ac:dyDescent="0.2">
      <c r="A416" s="5">
        <v>46113</v>
      </c>
      <c r="B416" t="s">
        <v>134</v>
      </c>
      <c r="C416" t="s">
        <v>118</v>
      </c>
      <c r="D416" t="s">
        <v>87</v>
      </c>
      <c r="F416" s="6">
        <v>2379</v>
      </c>
      <c r="G416" t="s">
        <v>137</v>
      </c>
    </row>
    <row r="417" spans="1:7" x14ac:dyDescent="0.2">
      <c r="A417" s="5">
        <v>46113</v>
      </c>
      <c r="B417" t="s">
        <v>134</v>
      </c>
      <c r="C417" t="s">
        <v>118</v>
      </c>
      <c r="D417" t="s">
        <v>91</v>
      </c>
      <c r="F417" s="6">
        <v>1586</v>
      </c>
      <c r="G417" t="s">
        <v>137</v>
      </c>
    </row>
    <row r="418" spans="1:7" x14ac:dyDescent="0.2">
      <c r="A418" s="5">
        <v>46143</v>
      </c>
      <c r="B418" t="s">
        <v>129</v>
      </c>
      <c r="C418" t="s">
        <v>122</v>
      </c>
      <c r="D418" t="s">
        <v>54</v>
      </c>
      <c r="E418" t="s">
        <v>130</v>
      </c>
      <c r="F418" s="6">
        <v>1829310</v>
      </c>
      <c r="G418" t="s">
        <v>137</v>
      </c>
    </row>
    <row r="419" spans="1:7" x14ac:dyDescent="0.2">
      <c r="A419" s="5">
        <v>46143</v>
      </c>
      <c r="B419" t="s">
        <v>129</v>
      </c>
      <c r="C419" t="s">
        <v>122</v>
      </c>
      <c r="D419" t="s">
        <v>54</v>
      </c>
      <c r="E419" t="s">
        <v>132</v>
      </c>
      <c r="F419" s="6">
        <v>985013</v>
      </c>
      <c r="G419" t="s">
        <v>137</v>
      </c>
    </row>
    <row r="420" spans="1:7" x14ac:dyDescent="0.2">
      <c r="A420" s="5">
        <v>46143</v>
      </c>
      <c r="B420" t="s">
        <v>129</v>
      </c>
      <c r="C420" t="s">
        <v>122</v>
      </c>
      <c r="D420" t="s">
        <v>58</v>
      </c>
      <c r="E420" t="s">
        <v>133</v>
      </c>
      <c r="F420" s="6">
        <v>281432</v>
      </c>
      <c r="G420" t="s">
        <v>137</v>
      </c>
    </row>
    <row r="421" spans="1:7" x14ac:dyDescent="0.2">
      <c r="A421" s="5">
        <v>46143</v>
      </c>
      <c r="B421" t="s">
        <v>129</v>
      </c>
      <c r="C421" t="s">
        <v>97</v>
      </c>
      <c r="D421" t="s">
        <v>67</v>
      </c>
      <c r="F421" s="6">
        <v>343200</v>
      </c>
      <c r="G421" t="s">
        <v>137</v>
      </c>
    </row>
    <row r="422" spans="1:7" x14ac:dyDescent="0.2">
      <c r="A422" s="5">
        <v>46143</v>
      </c>
      <c r="B422" t="s">
        <v>129</v>
      </c>
      <c r="C422" t="s">
        <v>97</v>
      </c>
      <c r="D422" t="s">
        <v>71</v>
      </c>
      <c r="F422" s="6">
        <v>75504</v>
      </c>
      <c r="G422" t="s">
        <v>137</v>
      </c>
    </row>
    <row r="423" spans="1:7" x14ac:dyDescent="0.2">
      <c r="A423" s="5">
        <v>46143</v>
      </c>
      <c r="B423" t="s">
        <v>129</v>
      </c>
      <c r="C423" t="s">
        <v>97</v>
      </c>
      <c r="D423" t="s">
        <v>73</v>
      </c>
      <c r="F423" s="6">
        <v>120120</v>
      </c>
      <c r="G423" t="s">
        <v>137</v>
      </c>
    </row>
    <row r="424" spans="1:7" x14ac:dyDescent="0.2">
      <c r="A424" s="5">
        <v>46143</v>
      </c>
      <c r="B424" t="s">
        <v>129</v>
      </c>
      <c r="C424" t="s">
        <v>97</v>
      </c>
      <c r="D424" t="s">
        <v>75</v>
      </c>
      <c r="F424" s="6">
        <v>34320</v>
      </c>
      <c r="G424" t="s">
        <v>137</v>
      </c>
    </row>
    <row r="425" spans="1:7" x14ac:dyDescent="0.2">
      <c r="A425" s="5">
        <v>46143</v>
      </c>
      <c r="B425" t="s">
        <v>129</v>
      </c>
      <c r="C425" t="s">
        <v>97</v>
      </c>
      <c r="D425" t="s">
        <v>76</v>
      </c>
      <c r="F425" s="6">
        <v>20592</v>
      </c>
      <c r="G425" t="s">
        <v>137</v>
      </c>
    </row>
    <row r="426" spans="1:7" x14ac:dyDescent="0.2">
      <c r="A426" s="5">
        <v>46143</v>
      </c>
      <c r="B426" t="s">
        <v>129</v>
      </c>
      <c r="C426" t="s">
        <v>97</v>
      </c>
      <c r="D426" t="s">
        <v>79</v>
      </c>
      <c r="F426" s="6">
        <v>27456</v>
      </c>
      <c r="G426" t="s">
        <v>137</v>
      </c>
    </row>
    <row r="427" spans="1:7" x14ac:dyDescent="0.2">
      <c r="A427" s="5">
        <v>46143</v>
      </c>
      <c r="B427" t="s">
        <v>129</v>
      </c>
      <c r="C427" t="s">
        <v>97</v>
      </c>
      <c r="D427" t="s">
        <v>87</v>
      </c>
      <c r="F427" s="6">
        <v>10296</v>
      </c>
      <c r="G427" t="s">
        <v>137</v>
      </c>
    </row>
    <row r="428" spans="1:7" x14ac:dyDescent="0.2">
      <c r="A428" s="5">
        <v>46143</v>
      </c>
      <c r="B428" t="s">
        <v>129</v>
      </c>
      <c r="C428" t="s">
        <v>97</v>
      </c>
      <c r="D428" t="s">
        <v>91</v>
      </c>
      <c r="F428" s="6">
        <v>6864</v>
      </c>
      <c r="G428" t="s">
        <v>137</v>
      </c>
    </row>
    <row r="429" spans="1:7" x14ac:dyDescent="0.2">
      <c r="A429" s="5">
        <v>46143</v>
      </c>
      <c r="B429" t="s">
        <v>129</v>
      </c>
      <c r="C429" t="s">
        <v>102</v>
      </c>
      <c r="D429" t="s">
        <v>67</v>
      </c>
      <c r="F429" s="6">
        <v>156000</v>
      </c>
      <c r="G429" t="s">
        <v>137</v>
      </c>
    </row>
    <row r="430" spans="1:7" x14ac:dyDescent="0.2">
      <c r="A430" s="5">
        <v>46143</v>
      </c>
      <c r="B430" t="s">
        <v>129</v>
      </c>
      <c r="C430" t="s">
        <v>102</v>
      </c>
      <c r="D430" t="s">
        <v>71</v>
      </c>
      <c r="F430" s="6">
        <v>34320</v>
      </c>
      <c r="G430" t="s">
        <v>137</v>
      </c>
    </row>
    <row r="431" spans="1:7" x14ac:dyDescent="0.2">
      <c r="A431" s="5">
        <v>46143</v>
      </c>
      <c r="B431" t="s">
        <v>129</v>
      </c>
      <c r="C431" t="s">
        <v>102</v>
      </c>
      <c r="D431" t="s">
        <v>75</v>
      </c>
      <c r="F431" s="6">
        <v>15600</v>
      </c>
      <c r="G431" t="s">
        <v>137</v>
      </c>
    </row>
    <row r="432" spans="1:7" x14ac:dyDescent="0.2">
      <c r="A432" s="5">
        <v>46143</v>
      </c>
      <c r="B432" t="s">
        <v>129</v>
      </c>
      <c r="C432" t="s">
        <v>102</v>
      </c>
      <c r="D432" t="s">
        <v>76</v>
      </c>
      <c r="F432" s="6">
        <v>9360</v>
      </c>
      <c r="G432" t="s">
        <v>137</v>
      </c>
    </row>
    <row r="433" spans="1:7" x14ac:dyDescent="0.2">
      <c r="A433" s="5">
        <v>46143</v>
      </c>
      <c r="B433" t="s">
        <v>129</v>
      </c>
      <c r="C433" t="s">
        <v>102</v>
      </c>
      <c r="D433" t="s">
        <v>79</v>
      </c>
      <c r="F433" s="6">
        <v>12480</v>
      </c>
      <c r="G433" t="s">
        <v>137</v>
      </c>
    </row>
    <row r="434" spans="1:7" x14ac:dyDescent="0.2">
      <c r="A434" s="5">
        <v>46143</v>
      </c>
      <c r="B434" t="s">
        <v>129</v>
      </c>
      <c r="C434" t="s">
        <v>102</v>
      </c>
      <c r="D434" t="s">
        <v>81</v>
      </c>
      <c r="F434" s="6">
        <v>210600</v>
      </c>
      <c r="G434" t="s">
        <v>137</v>
      </c>
    </row>
    <row r="435" spans="1:7" x14ac:dyDescent="0.2">
      <c r="A435" s="5">
        <v>46143</v>
      </c>
      <c r="B435" t="s">
        <v>129</v>
      </c>
      <c r="C435" t="s">
        <v>102</v>
      </c>
      <c r="D435" t="s">
        <v>87</v>
      </c>
      <c r="F435" s="6">
        <v>4680</v>
      </c>
      <c r="G435" t="s">
        <v>137</v>
      </c>
    </row>
    <row r="436" spans="1:7" x14ac:dyDescent="0.2">
      <c r="A436" s="5">
        <v>46143</v>
      </c>
      <c r="B436" t="s">
        <v>129</v>
      </c>
      <c r="C436" t="s">
        <v>102</v>
      </c>
      <c r="D436" t="s">
        <v>91</v>
      </c>
      <c r="F436" s="6">
        <v>3120</v>
      </c>
      <c r="G436" t="s">
        <v>137</v>
      </c>
    </row>
    <row r="437" spans="1:7" x14ac:dyDescent="0.2">
      <c r="A437" s="5">
        <v>46143</v>
      </c>
      <c r="B437" t="s">
        <v>129</v>
      </c>
      <c r="C437" t="s">
        <v>106</v>
      </c>
      <c r="D437" t="s">
        <v>65</v>
      </c>
      <c r="F437" s="6">
        <v>70720</v>
      </c>
      <c r="G437" t="s">
        <v>137</v>
      </c>
    </row>
    <row r="438" spans="1:7" x14ac:dyDescent="0.2">
      <c r="A438" s="5">
        <v>46143</v>
      </c>
      <c r="B438" t="s">
        <v>129</v>
      </c>
      <c r="C438" t="s">
        <v>106</v>
      </c>
      <c r="D438" t="s">
        <v>67</v>
      </c>
      <c r="F438" s="6">
        <v>176800</v>
      </c>
      <c r="G438" t="s">
        <v>137</v>
      </c>
    </row>
    <row r="439" spans="1:7" x14ac:dyDescent="0.2">
      <c r="A439" s="5">
        <v>46143</v>
      </c>
      <c r="B439" t="s">
        <v>129</v>
      </c>
      <c r="C439" t="s">
        <v>106</v>
      </c>
      <c r="D439" t="s">
        <v>71</v>
      </c>
      <c r="F439" s="6">
        <v>38896</v>
      </c>
      <c r="G439" t="s">
        <v>137</v>
      </c>
    </row>
    <row r="440" spans="1:7" x14ac:dyDescent="0.2">
      <c r="A440" s="5">
        <v>46143</v>
      </c>
      <c r="B440" t="s">
        <v>129</v>
      </c>
      <c r="C440" t="s">
        <v>106</v>
      </c>
      <c r="D440" t="s">
        <v>75</v>
      </c>
      <c r="F440" s="6">
        <v>17680</v>
      </c>
      <c r="G440" t="s">
        <v>137</v>
      </c>
    </row>
    <row r="441" spans="1:7" x14ac:dyDescent="0.2">
      <c r="A441" s="5">
        <v>46143</v>
      </c>
      <c r="B441" t="s">
        <v>129</v>
      </c>
      <c r="C441" t="s">
        <v>106</v>
      </c>
      <c r="D441" t="s">
        <v>76</v>
      </c>
      <c r="F441" s="6">
        <v>10608</v>
      </c>
      <c r="G441" t="s">
        <v>137</v>
      </c>
    </row>
    <row r="442" spans="1:7" x14ac:dyDescent="0.2">
      <c r="A442" s="5">
        <v>46143</v>
      </c>
      <c r="B442" t="s">
        <v>129</v>
      </c>
      <c r="C442" t="s">
        <v>106</v>
      </c>
      <c r="D442" t="s">
        <v>79</v>
      </c>
      <c r="F442" s="6">
        <v>7072</v>
      </c>
      <c r="G442" t="s">
        <v>137</v>
      </c>
    </row>
    <row r="443" spans="1:7" x14ac:dyDescent="0.2">
      <c r="A443" s="5">
        <v>46143</v>
      </c>
      <c r="B443" t="s">
        <v>129</v>
      </c>
      <c r="C443" t="s">
        <v>106</v>
      </c>
      <c r="D443" t="s">
        <v>87</v>
      </c>
      <c r="F443" s="6">
        <v>5304</v>
      </c>
      <c r="G443" t="s">
        <v>137</v>
      </c>
    </row>
    <row r="444" spans="1:7" x14ac:dyDescent="0.2">
      <c r="A444" s="5">
        <v>46143</v>
      </c>
      <c r="B444" t="s">
        <v>129</v>
      </c>
      <c r="C444" t="s">
        <v>106</v>
      </c>
      <c r="D444" t="s">
        <v>91</v>
      </c>
      <c r="F444" s="6">
        <v>3536</v>
      </c>
      <c r="G444" t="s">
        <v>137</v>
      </c>
    </row>
    <row r="445" spans="1:7" x14ac:dyDescent="0.2">
      <c r="A445" s="5">
        <v>46143</v>
      </c>
      <c r="B445" t="s">
        <v>129</v>
      </c>
      <c r="C445" t="s">
        <v>110</v>
      </c>
      <c r="D445" t="s">
        <v>61</v>
      </c>
      <c r="F445" s="6">
        <v>540800</v>
      </c>
      <c r="G445" t="s">
        <v>137</v>
      </c>
    </row>
    <row r="446" spans="1:7" x14ac:dyDescent="0.2">
      <c r="A446" s="5">
        <v>46143</v>
      </c>
      <c r="B446" t="s">
        <v>129</v>
      </c>
      <c r="C446" t="s">
        <v>110</v>
      </c>
      <c r="D446" t="s">
        <v>67</v>
      </c>
      <c r="F446" s="6">
        <v>540800</v>
      </c>
      <c r="G446" t="s">
        <v>137</v>
      </c>
    </row>
    <row r="447" spans="1:7" x14ac:dyDescent="0.2">
      <c r="A447" s="5">
        <v>46143</v>
      </c>
      <c r="B447" t="s">
        <v>129</v>
      </c>
      <c r="C447" t="s">
        <v>110</v>
      </c>
      <c r="D447" t="s">
        <v>71</v>
      </c>
      <c r="F447" s="6">
        <v>118976</v>
      </c>
      <c r="G447" t="s">
        <v>137</v>
      </c>
    </row>
    <row r="448" spans="1:7" x14ac:dyDescent="0.2">
      <c r="A448" s="5">
        <v>46143</v>
      </c>
      <c r="B448" t="s">
        <v>129</v>
      </c>
      <c r="C448" t="s">
        <v>110</v>
      </c>
      <c r="D448" t="s">
        <v>75</v>
      </c>
      <c r="F448" s="6">
        <v>54080</v>
      </c>
      <c r="G448" t="s">
        <v>137</v>
      </c>
    </row>
    <row r="449" spans="1:7" x14ac:dyDescent="0.2">
      <c r="A449" s="5">
        <v>46143</v>
      </c>
      <c r="B449" t="s">
        <v>129</v>
      </c>
      <c r="C449" t="s">
        <v>110</v>
      </c>
      <c r="D449" t="s">
        <v>76</v>
      </c>
      <c r="F449" s="6">
        <v>32448</v>
      </c>
      <c r="G449" t="s">
        <v>137</v>
      </c>
    </row>
    <row r="450" spans="1:7" x14ac:dyDescent="0.2">
      <c r="A450" s="5">
        <v>46143</v>
      </c>
      <c r="B450" t="s">
        <v>129</v>
      </c>
      <c r="C450" t="s">
        <v>110</v>
      </c>
      <c r="D450" t="s">
        <v>79</v>
      </c>
      <c r="F450" s="6">
        <v>21632</v>
      </c>
      <c r="G450" t="s">
        <v>137</v>
      </c>
    </row>
    <row r="451" spans="1:7" x14ac:dyDescent="0.2">
      <c r="A451" s="5">
        <v>46143</v>
      </c>
      <c r="B451" t="s">
        <v>129</v>
      </c>
      <c r="C451" t="s">
        <v>110</v>
      </c>
      <c r="D451" t="s">
        <v>87</v>
      </c>
      <c r="F451" s="6">
        <v>16224</v>
      </c>
      <c r="G451" t="s">
        <v>137</v>
      </c>
    </row>
    <row r="452" spans="1:7" x14ac:dyDescent="0.2">
      <c r="A452" s="5">
        <v>46143</v>
      </c>
      <c r="B452" t="s">
        <v>129</v>
      </c>
      <c r="C452" t="s">
        <v>110</v>
      </c>
      <c r="D452" t="s">
        <v>89</v>
      </c>
      <c r="F452" s="6">
        <v>91936</v>
      </c>
      <c r="G452" t="s">
        <v>137</v>
      </c>
    </row>
    <row r="453" spans="1:7" x14ac:dyDescent="0.2">
      <c r="A453" s="5">
        <v>46143</v>
      </c>
      <c r="B453" t="s">
        <v>129</v>
      </c>
      <c r="C453" t="s">
        <v>110</v>
      </c>
      <c r="D453" t="s">
        <v>91</v>
      </c>
      <c r="F453" s="6">
        <v>10816</v>
      </c>
      <c r="G453" t="s">
        <v>137</v>
      </c>
    </row>
    <row r="454" spans="1:7" x14ac:dyDescent="0.2">
      <c r="A454" s="5">
        <v>46143</v>
      </c>
      <c r="B454" t="s">
        <v>129</v>
      </c>
      <c r="C454" t="s">
        <v>114</v>
      </c>
      <c r="D454" t="s">
        <v>67</v>
      </c>
      <c r="F454" s="6">
        <v>145600</v>
      </c>
      <c r="G454" t="s">
        <v>137</v>
      </c>
    </row>
    <row r="455" spans="1:7" x14ac:dyDescent="0.2">
      <c r="A455" s="5">
        <v>46143</v>
      </c>
      <c r="B455" t="s">
        <v>129</v>
      </c>
      <c r="C455" t="s">
        <v>114</v>
      </c>
      <c r="D455" t="s">
        <v>71</v>
      </c>
      <c r="F455" s="6">
        <v>32032</v>
      </c>
      <c r="G455" t="s">
        <v>137</v>
      </c>
    </row>
    <row r="456" spans="1:7" x14ac:dyDescent="0.2">
      <c r="A456" s="5">
        <v>46143</v>
      </c>
      <c r="B456" t="s">
        <v>129</v>
      </c>
      <c r="C456" t="s">
        <v>114</v>
      </c>
      <c r="D456" t="s">
        <v>75</v>
      </c>
      <c r="F456" s="6">
        <v>14560</v>
      </c>
      <c r="G456" t="s">
        <v>137</v>
      </c>
    </row>
    <row r="457" spans="1:7" x14ac:dyDescent="0.2">
      <c r="A457" s="5">
        <v>46143</v>
      </c>
      <c r="B457" t="s">
        <v>129</v>
      </c>
      <c r="C457" t="s">
        <v>114</v>
      </c>
      <c r="D457" t="s">
        <v>76</v>
      </c>
      <c r="F457" s="6">
        <v>8736</v>
      </c>
      <c r="G457" t="s">
        <v>137</v>
      </c>
    </row>
    <row r="458" spans="1:7" x14ac:dyDescent="0.2">
      <c r="A458" s="5">
        <v>46143</v>
      </c>
      <c r="B458" t="s">
        <v>129</v>
      </c>
      <c r="C458" t="s">
        <v>114</v>
      </c>
      <c r="D458" t="s">
        <v>79</v>
      </c>
      <c r="F458" s="6">
        <v>5824</v>
      </c>
      <c r="G458" t="s">
        <v>137</v>
      </c>
    </row>
    <row r="459" spans="1:7" x14ac:dyDescent="0.2">
      <c r="A459" s="5">
        <v>46143</v>
      </c>
      <c r="B459" t="s">
        <v>129</v>
      </c>
      <c r="C459" t="s">
        <v>114</v>
      </c>
      <c r="D459" t="s">
        <v>87</v>
      </c>
      <c r="F459" s="6">
        <v>4368</v>
      </c>
      <c r="G459" t="s">
        <v>137</v>
      </c>
    </row>
    <row r="460" spans="1:7" x14ac:dyDescent="0.2">
      <c r="A460" s="5">
        <v>46143</v>
      </c>
      <c r="B460" t="s">
        <v>129</v>
      </c>
      <c r="C460" t="s">
        <v>114</v>
      </c>
      <c r="D460" t="s">
        <v>91</v>
      </c>
      <c r="F460" s="6">
        <v>2912</v>
      </c>
      <c r="G460" t="s">
        <v>137</v>
      </c>
    </row>
    <row r="461" spans="1:7" x14ac:dyDescent="0.2">
      <c r="A461" s="5">
        <v>46143</v>
      </c>
      <c r="B461" t="s">
        <v>129</v>
      </c>
      <c r="C461" t="s">
        <v>118</v>
      </c>
      <c r="D461" t="s">
        <v>67</v>
      </c>
      <c r="F461" s="6">
        <v>228800</v>
      </c>
      <c r="G461" t="s">
        <v>137</v>
      </c>
    </row>
    <row r="462" spans="1:7" x14ac:dyDescent="0.2">
      <c r="A462" s="5">
        <v>46143</v>
      </c>
      <c r="B462" t="s">
        <v>129</v>
      </c>
      <c r="C462" t="s">
        <v>118</v>
      </c>
      <c r="D462" t="s">
        <v>71</v>
      </c>
      <c r="F462" s="6">
        <v>50336</v>
      </c>
      <c r="G462" t="s">
        <v>137</v>
      </c>
    </row>
    <row r="463" spans="1:7" x14ac:dyDescent="0.2">
      <c r="A463" s="5">
        <v>46143</v>
      </c>
      <c r="B463" t="s">
        <v>129</v>
      </c>
      <c r="C463" t="s">
        <v>118</v>
      </c>
      <c r="D463" t="s">
        <v>75</v>
      </c>
      <c r="F463" s="6">
        <v>22880</v>
      </c>
      <c r="G463" t="s">
        <v>137</v>
      </c>
    </row>
    <row r="464" spans="1:7" x14ac:dyDescent="0.2">
      <c r="A464" s="5">
        <v>46143</v>
      </c>
      <c r="B464" t="s">
        <v>129</v>
      </c>
      <c r="C464" t="s">
        <v>118</v>
      </c>
      <c r="D464" t="s">
        <v>76</v>
      </c>
      <c r="F464" s="6">
        <v>13728</v>
      </c>
      <c r="G464" t="s">
        <v>137</v>
      </c>
    </row>
    <row r="465" spans="1:7" x14ac:dyDescent="0.2">
      <c r="A465" s="5">
        <v>46143</v>
      </c>
      <c r="B465" t="s">
        <v>129</v>
      </c>
      <c r="C465" t="s">
        <v>118</v>
      </c>
      <c r="D465" t="s">
        <v>79</v>
      </c>
      <c r="F465" s="6">
        <v>9152</v>
      </c>
      <c r="G465" t="s">
        <v>137</v>
      </c>
    </row>
    <row r="466" spans="1:7" x14ac:dyDescent="0.2">
      <c r="A466" s="5">
        <v>46143</v>
      </c>
      <c r="B466" t="s">
        <v>129</v>
      </c>
      <c r="C466" t="s">
        <v>118</v>
      </c>
      <c r="D466" t="s">
        <v>83</v>
      </c>
      <c r="F466" s="6">
        <v>132704</v>
      </c>
      <c r="G466" t="s">
        <v>137</v>
      </c>
    </row>
    <row r="467" spans="1:7" x14ac:dyDescent="0.2">
      <c r="A467" s="5">
        <v>46143</v>
      </c>
      <c r="B467" t="s">
        <v>129</v>
      </c>
      <c r="C467" t="s">
        <v>118</v>
      </c>
      <c r="D467" t="s">
        <v>85</v>
      </c>
      <c r="F467" s="6">
        <v>73216</v>
      </c>
      <c r="G467" t="s">
        <v>137</v>
      </c>
    </row>
    <row r="468" spans="1:7" x14ac:dyDescent="0.2">
      <c r="A468" s="5">
        <v>46143</v>
      </c>
      <c r="B468" t="s">
        <v>129</v>
      </c>
      <c r="C468" t="s">
        <v>118</v>
      </c>
      <c r="D468" t="s">
        <v>87</v>
      </c>
      <c r="F468" s="6">
        <v>6864</v>
      </c>
      <c r="G468" t="s">
        <v>137</v>
      </c>
    </row>
    <row r="469" spans="1:7" x14ac:dyDescent="0.2">
      <c r="A469" s="5">
        <v>46143</v>
      </c>
      <c r="B469" t="s">
        <v>129</v>
      </c>
      <c r="C469" t="s">
        <v>118</v>
      </c>
      <c r="D469" t="s">
        <v>91</v>
      </c>
      <c r="F469" s="6">
        <v>4576</v>
      </c>
      <c r="G469" t="s">
        <v>137</v>
      </c>
    </row>
    <row r="470" spans="1:7" x14ac:dyDescent="0.2">
      <c r="A470" s="5">
        <v>46143</v>
      </c>
      <c r="B470" t="s">
        <v>134</v>
      </c>
      <c r="C470" t="s">
        <v>122</v>
      </c>
      <c r="D470" t="s">
        <v>54</v>
      </c>
      <c r="E470" t="s">
        <v>130</v>
      </c>
      <c r="F470" s="6">
        <v>640259</v>
      </c>
      <c r="G470" t="s">
        <v>137</v>
      </c>
    </row>
    <row r="471" spans="1:7" x14ac:dyDescent="0.2">
      <c r="A471" s="5">
        <v>46143</v>
      </c>
      <c r="B471" t="s">
        <v>134</v>
      </c>
      <c r="C471" t="s">
        <v>122</v>
      </c>
      <c r="D471" t="s">
        <v>54</v>
      </c>
      <c r="E471" t="s">
        <v>132</v>
      </c>
      <c r="F471" s="6">
        <v>344755</v>
      </c>
      <c r="G471" t="s">
        <v>137</v>
      </c>
    </row>
    <row r="472" spans="1:7" x14ac:dyDescent="0.2">
      <c r="A472" s="5">
        <v>46143</v>
      </c>
      <c r="B472" t="s">
        <v>134</v>
      </c>
      <c r="C472" t="s">
        <v>122</v>
      </c>
      <c r="D472" t="s">
        <v>58</v>
      </c>
      <c r="E472" t="s">
        <v>133</v>
      </c>
      <c r="F472" s="6">
        <v>98501</v>
      </c>
      <c r="G472" t="s">
        <v>137</v>
      </c>
    </row>
    <row r="473" spans="1:7" x14ac:dyDescent="0.2">
      <c r="A473" s="5">
        <v>46143</v>
      </c>
      <c r="B473" t="s">
        <v>134</v>
      </c>
      <c r="C473" t="s">
        <v>97</v>
      </c>
      <c r="D473" t="s">
        <v>67</v>
      </c>
      <c r="F473" s="6">
        <v>120120</v>
      </c>
      <c r="G473" t="s">
        <v>137</v>
      </c>
    </row>
    <row r="474" spans="1:7" x14ac:dyDescent="0.2">
      <c r="A474" s="5">
        <v>46143</v>
      </c>
      <c r="B474" t="s">
        <v>134</v>
      </c>
      <c r="C474" t="s">
        <v>97</v>
      </c>
      <c r="D474" t="s">
        <v>71</v>
      </c>
      <c r="F474" s="6">
        <v>26426</v>
      </c>
      <c r="G474" t="s">
        <v>137</v>
      </c>
    </row>
    <row r="475" spans="1:7" x14ac:dyDescent="0.2">
      <c r="A475" s="5">
        <v>46143</v>
      </c>
      <c r="B475" t="s">
        <v>134</v>
      </c>
      <c r="C475" t="s">
        <v>97</v>
      </c>
      <c r="D475" t="s">
        <v>73</v>
      </c>
      <c r="F475" s="6">
        <v>42042</v>
      </c>
      <c r="G475" t="s">
        <v>137</v>
      </c>
    </row>
    <row r="476" spans="1:7" x14ac:dyDescent="0.2">
      <c r="A476" s="5">
        <v>46143</v>
      </c>
      <c r="B476" t="s">
        <v>134</v>
      </c>
      <c r="C476" t="s">
        <v>97</v>
      </c>
      <c r="D476" t="s">
        <v>75</v>
      </c>
      <c r="F476" s="6">
        <v>12012</v>
      </c>
      <c r="G476" t="s">
        <v>137</v>
      </c>
    </row>
    <row r="477" spans="1:7" x14ac:dyDescent="0.2">
      <c r="A477" s="5">
        <v>46143</v>
      </c>
      <c r="B477" t="s">
        <v>134</v>
      </c>
      <c r="C477" t="s">
        <v>97</v>
      </c>
      <c r="D477" t="s">
        <v>76</v>
      </c>
      <c r="F477" s="6">
        <v>7207</v>
      </c>
      <c r="G477" t="s">
        <v>137</v>
      </c>
    </row>
    <row r="478" spans="1:7" x14ac:dyDescent="0.2">
      <c r="A478" s="5">
        <v>46143</v>
      </c>
      <c r="B478" t="s">
        <v>134</v>
      </c>
      <c r="C478" t="s">
        <v>97</v>
      </c>
      <c r="D478" t="s">
        <v>79</v>
      </c>
      <c r="F478" s="6">
        <v>9610</v>
      </c>
      <c r="G478" t="s">
        <v>137</v>
      </c>
    </row>
    <row r="479" spans="1:7" x14ac:dyDescent="0.2">
      <c r="A479" s="5">
        <v>46143</v>
      </c>
      <c r="B479" t="s">
        <v>134</v>
      </c>
      <c r="C479" t="s">
        <v>97</v>
      </c>
      <c r="D479" t="s">
        <v>87</v>
      </c>
      <c r="F479" s="6">
        <v>3604</v>
      </c>
      <c r="G479" t="s">
        <v>137</v>
      </c>
    </row>
    <row r="480" spans="1:7" x14ac:dyDescent="0.2">
      <c r="A480" s="5">
        <v>46143</v>
      </c>
      <c r="B480" t="s">
        <v>134</v>
      </c>
      <c r="C480" t="s">
        <v>97</v>
      </c>
      <c r="D480" t="s">
        <v>91</v>
      </c>
      <c r="F480" s="6">
        <v>2402</v>
      </c>
      <c r="G480" t="s">
        <v>137</v>
      </c>
    </row>
    <row r="481" spans="1:7" x14ac:dyDescent="0.2">
      <c r="A481" s="5">
        <v>46143</v>
      </c>
      <c r="B481" t="s">
        <v>134</v>
      </c>
      <c r="C481" t="s">
        <v>102</v>
      </c>
      <c r="D481" t="s">
        <v>67</v>
      </c>
      <c r="F481" s="6">
        <v>54600</v>
      </c>
      <c r="G481" t="s">
        <v>137</v>
      </c>
    </row>
    <row r="482" spans="1:7" x14ac:dyDescent="0.2">
      <c r="A482" s="5">
        <v>46143</v>
      </c>
      <c r="B482" t="s">
        <v>134</v>
      </c>
      <c r="C482" t="s">
        <v>102</v>
      </c>
      <c r="D482" t="s">
        <v>71</v>
      </c>
      <c r="F482" s="6">
        <v>12012</v>
      </c>
      <c r="G482" t="s">
        <v>137</v>
      </c>
    </row>
    <row r="483" spans="1:7" x14ac:dyDescent="0.2">
      <c r="A483" s="5">
        <v>46143</v>
      </c>
      <c r="B483" t="s">
        <v>134</v>
      </c>
      <c r="C483" t="s">
        <v>102</v>
      </c>
      <c r="D483" t="s">
        <v>75</v>
      </c>
      <c r="F483" s="6">
        <v>5460</v>
      </c>
      <c r="G483" t="s">
        <v>137</v>
      </c>
    </row>
    <row r="484" spans="1:7" x14ac:dyDescent="0.2">
      <c r="A484" s="5">
        <v>46143</v>
      </c>
      <c r="B484" t="s">
        <v>134</v>
      </c>
      <c r="C484" t="s">
        <v>102</v>
      </c>
      <c r="D484" t="s">
        <v>76</v>
      </c>
      <c r="F484" s="6">
        <v>3276</v>
      </c>
      <c r="G484" t="s">
        <v>137</v>
      </c>
    </row>
    <row r="485" spans="1:7" x14ac:dyDescent="0.2">
      <c r="A485" s="5">
        <v>46143</v>
      </c>
      <c r="B485" t="s">
        <v>134</v>
      </c>
      <c r="C485" t="s">
        <v>102</v>
      </c>
      <c r="D485" t="s">
        <v>79</v>
      </c>
      <c r="F485" s="6">
        <v>4368</v>
      </c>
      <c r="G485" t="s">
        <v>137</v>
      </c>
    </row>
    <row r="486" spans="1:7" x14ac:dyDescent="0.2">
      <c r="A486" s="5">
        <v>46143</v>
      </c>
      <c r="B486" t="s">
        <v>134</v>
      </c>
      <c r="C486" t="s">
        <v>102</v>
      </c>
      <c r="D486" t="s">
        <v>81</v>
      </c>
      <c r="F486" s="6">
        <v>73710</v>
      </c>
      <c r="G486" t="s">
        <v>137</v>
      </c>
    </row>
    <row r="487" spans="1:7" x14ac:dyDescent="0.2">
      <c r="A487" s="5">
        <v>46143</v>
      </c>
      <c r="B487" t="s">
        <v>134</v>
      </c>
      <c r="C487" t="s">
        <v>102</v>
      </c>
      <c r="D487" t="s">
        <v>87</v>
      </c>
      <c r="F487" s="6">
        <v>1638</v>
      </c>
      <c r="G487" t="s">
        <v>137</v>
      </c>
    </row>
    <row r="488" spans="1:7" x14ac:dyDescent="0.2">
      <c r="A488" s="5">
        <v>46143</v>
      </c>
      <c r="B488" t="s">
        <v>134</v>
      </c>
      <c r="C488" t="s">
        <v>102</v>
      </c>
      <c r="D488" t="s">
        <v>91</v>
      </c>
      <c r="F488" s="6">
        <v>1092</v>
      </c>
      <c r="G488" t="s">
        <v>137</v>
      </c>
    </row>
    <row r="489" spans="1:7" x14ac:dyDescent="0.2">
      <c r="A489" s="5">
        <v>46143</v>
      </c>
      <c r="B489" t="s">
        <v>134</v>
      </c>
      <c r="C489" t="s">
        <v>106</v>
      </c>
      <c r="D489" t="s">
        <v>65</v>
      </c>
      <c r="F489" s="6">
        <v>24752</v>
      </c>
      <c r="G489" t="s">
        <v>137</v>
      </c>
    </row>
    <row r="490" spans="1:7" x14ac:dyDescent="0.2">
      <c r="A490" s="5">
        <v>46143</v>
      </c>
      <c r="B490" t="s">
        <v>134</v>
      </c>
      <c r="C490" t="s">
        <v>106</v>
      </c>
      <c r="D490" t="s">
        <v>67</v>
      </c>
      <c r="F490" s="6">
        <v>61880</v>
      </c>
      <c r="G490" t="s">
        <v>137</v>
      </c>
    </row>
    <row r="491" spans="1:7" x14ac:dyDescent="0.2">
      <c r="A491" s="5">
        <v>46143</v>
      </c>
      <c r="B491" t="s">
        <v>134</v>
      </c>
      <c r="C491" t="s">
        <v>106</v>
      </c>
      <c r="D491" t="s">
        <v>71</v>
      </c>
      <c r="F491" s="6">
        <v>13614</v>
      </c>
      <c r="G491" t="s">
        <v>137</v>
      </c>
    </row>
    <row r="492" spans="1:7" x14ac:dyDescent="0.2">
      <c r="A492" s="5">
        <v>46143</v>
      </c>
      <c r="B492" t="s">
        <v>134</v>
      </c>
      <c r="C492" t="s">
        <v>106</v>
      </c>
      <c r="D492" t="s">
        <v>75</v>
      </c>
      <c r="F492" s="6">
        <v>6188</v>
      </c>
      <c r="G492" t="s">
        <v>137</v>
      </c>
    </row>
    <row r="493" spans="1:7" x14ac:dyDescent="0.2">
      <c r="A493" s="5">
        <v>46143</v>
      </c>
      <c r="B493" t="s">
        <v>134</v>
      </c>
      <c r="C493" t="s">
        <v>106</v>
      </c>
      <c r="D493" t="s">
        <v>76</v>
      </c>
      <c r="F493" s="6">
        <v>3713</v>
      </c>
      <c r="G493" t="s">
        <v>137</v>
      </c>
    </row>
    <row r="494" spans="1:7" x14ac:dyDescent="0.2">
      <c r="A494" s="5">
        <v>46143</v>
      </c>
      <c r="B494" t="s">
        <v>134</v>
      </c>
      <c r="C494" t="s">
        <v>106</v>
      </c>
      <c r="D494" t="s">
        <v>79</v>
      </c>
      <c r="F494" s="6">
        <v>2475</v>
      </c>
      <c r="G494" t="s">
        <v>137</v>
      </c>
    </row>
    <row r="495" spans="1:7" x14ac:dyDescent="0.2">
      <c r="A495" s="5">
        <v>46143</v>
      </c>
      <c r="B495" t="s">
        <v>134</v>
      </c>
      <c r="C495" t="s">
        <v>106</v>
      </c>
      <c r="D495" t="s">
        <v>87</v>
      </c>
      <c r="F495" s="6">
        <v>1856</v>
      </c>
      <c r="G495" t="s">
        <v>137</v>
      </c>
    </row>
    <row r="496" spans="1:7" x14ac:dyDescent="0.2">
      <c r="A496" s="5">
        <v>46143</v>
      </c>
      <c r="B496" t="s">
        <v>134</v>
      </c>
      <c r="C496" t="s">
        <v>106</v>
      </c>
      <c r="D496" t="s">
        <v>91</v>
      </c>
      <c r="F496" s="6">
        <v>1238</v>
      </c>
      <c r="G496" t="s">
        <v>137</v>
      </c>
    </row>
    <row r="497" spans="1:7" x14ac:dyDescent="0.2">
      <c r="A497" s="5">
        <v>46143</v>
      </c>
      <c r="B497" t="s">
        <v>134</v>
      </c>
      <c r="C497" t="s">
        <v>110</v>
      </c>
      <c r="D497" t="s">
        <v>61</v>
      </c>
      <c r="F497" s="6">
        <v>189280</v>
      </c>
      <c r="G497" t="s">
        <v>137</v>
      </c>
    </row>
    <row r="498" spans="1:7" x14ac:dyDescent="0.2">
      <c r="A498" s="5">
        <v>46143</v>
      </c>
      <c r="B498" t="s">
        <v>134</v>
      </c>
      <c r="C498" t="s">
        <v>110</v>
      </c>
      <c r="D498" t="s">
        <v>67</v>
      </c>
      <c r="F498" s="6">
        <v>189280</v>
      </c>
      <c r="G498" t="s">
        <v>137</v>
      </c>
    </row>
    <row r="499" spans="1:7" x14ac:dyDescent="0.2">
      <c r="A499" s="5">
        <v>46143</v>
      </c>
      <c r="B499" t="s">
        <v>134</v>
      </c>
      <c r="C499" t="s">
        <v>110</v>
      </c>
      <c r="D499" t="s">
        <v>71</v>
      </c>
      <c r="F499" s="6">
        <v>41642</v>
      </c>
      <c r="G499" t="s">
        <v>137</v>
      </c>
    </row>
    <row r="500" spans="1:7" x14ac:dyDescent="0.2">
      <c r="A500" s="5">
        <v>46143</v>
      </c>
      <c r="B500" t="s">
        <v>134</v>
      </c>
      <c r="C500" t="s">
        <v>110</v>
      </c>
      <c r="D500" t="s">
        <v>75</v>
      </c>
      <c r="F500" s="6">
        <v>18928</v>
      </c>
      <c r="G500" t="s">
        <v>137</v>
      </c>
    </row>
    <row r="501" spans="1:7" x14ac:dyDescent="0.2">
      <c r="A501" s="5">
        <v>46143</v>
      </c>
      <c r="B501" t="s">
        <v>134</v>
      </c>
      <c r="C501" t="s">
        <v>110</v>
      </c>
      <c r="D501" t="s">
        <v>76</v>
      </c>
      <c r="F501" s="6">
        <v>11357</v>
      </c>
      <c r="G501" t="s">
        <v>137</v>
      </c>
    </row>
    <row r="502" spans="1:7" x14ac:dyDescent="0.2">
      <c r="A502" s="5">
        <v>46143</v>
      </c>
      <c r="B502" t="s">
        <v>134</v>
      </c>
      <c r="C502" t="s">
        <v>110</v>
      </c>
      <c r="D502" t="s">
        <v>79</v>
      </c>
      <c r="F502" s="6">
        <v>7571</v>
      </c>
      <c r="G502" t="s">
        <v>137</v>
      </c>
    </row>
    <row r="503" spans="1:7" x14ac:dyDescent="0.2">
      <c r="A503" s="5">
        <v>46143</v>
      </c>
      <c r="B503" t="s">
        <v>134</v>
      </c>
      <c r="C503" t="s">
        <v>110</v>
      </c>
      <c r="D503" t="s">
        <v>87</v>
      </c>
      <c r="F503" s="6">
        <v>5678</v>
      </c>
      <c r="G503" t="s">
        <v>137</v>
      </c>
    </row>
    <row r="504" spans="1:7" x14ac:dyDescent="0.2">
      <c r="A504" s="5">
        <v>46143</v>
      </c>
      <c r="B504" t="s">
        <v>134</v>
      </c>
      <c r="C504" t="s">
        <v>110</v>
      </c>
      <c r="D504" t="s">
        <v>89</v>
      </c>
      <c r="F504" s="6">
        <v>32178</v>
      </c>
      <c r="G504" t="s">
        <v>137</v>
      </c>
    </row>
    <row r="505" spans="1:7" x14ac:dyDescent="0.2">
      <c r="A505" s="5">
        <v>46143</v>
      </c>
      <c r="B505" t="s">
        <v>134</v>
      </c>
      <c r="C505" t="s">
        <v>110</v>
      </c>
      <c r="D505" t="s">
        <v>91</v>
      </c>
      <c r="F505" s="6">
        <v>3786</v>
      </c>
      <c r="G505" t="s">
        <v>137</v>
      </c>
    </row>
    <row r="506" spans="1:7" x14ac:dyDescent="0.2">
      <c r="A506" s="5">
        <v>46143</v>
      </c>
      <c r="B506" t="s">
        <v>134</v>
      </c>
      <c r="C506" t="s">
        <v>114</v>
      </c>
      <c r="D506" t="s">
        <v>67</v>
      </c>
      <c r="F506" s="6">
        <v>50960</v>
      </c>
      <c r="G506" t="s">
        <v>137</v>
      </c>
    </row>
    <row r="507" spans="1:7" x14ac:dyDescent="0.2">
      <c r="A507" s="5">
        <v>46143</v>
      </c>
      <c r="B507" t="s">
        <v>134</v>
      </c>
      <c r="C507" t="s">
        <v>114</v>
      </c>
      <c r="D507" t="s">
        <v>71</v>
      </c>
      <c r="F507" s="6">
        <v>11211</v>
      </c>
      <c r="G507" t="s">
        <v>137</v>
      </c>
    </row>
    <row r="508" spans="1:7" x14ac:dyDescent="0.2">
      <c r="A508" s="5">
        <v>46143</v>
      </c>
      <c r="B508" t="s">
        <v>134</v>
      </c>
      <c r="C508" t="s">
        <v>114</v>
      </c>
      <c r="D508" t="s">
        <v>75</v>
      </c>
      <c r="F508" s="6">
        <v>5096</v>
      </c>
      <c r="G508" t="s">
        <v>137</v>
      </c>
    </row>
    <row r="509" spans="1:7" x14ac:dyDescent="0.2">
      <c r="A509" s="5">
        <v>46143</v>
      </c>
      <c r="B509" t="s">
        <v>134</v>
      </c>
      <c r="C509" t="s">
        <v>114</v>
      </c>
      <c r="D509" t="s">
        <v>76</v>
      </c>
      <c r="F509" s="6">
        <v>3058</v>
      </c>
      <c r="G509" t="s">
        <v>137</v>
      </c>
    </row>
    <row r="510" spans="1:7" x14ac:dyDescent="0.2">
      <c r="A510" s="5">
        <v>46143</v>
      </c>
      <c r="B510" t="s">
        <v>134</v>
      </c>
      <c r="C510" t="s">
        <v>114</v>
      </c>
      <c r="D510" t="s">
        <v>79</v>
      </c>
      <c r="F510" s="6">
        <v>2038</v>
      </c>
      <c r="G510" t="s">
        <v>137</v>
      </c>
    </row>
    <row r="511" spans="1:7" x14ac:dyDescent="0.2">
      <c r="A511" s="5">
        <v>46143</v>
      </c>
      <c r="B511" t="s">
        <v>134</v>
      </c>
      <c r="C511" t="s">
        <v>114</v>
      </c>
      <c r="D511" t="s">
        <v>87</v>
      </c>
      <c r="F511" s="6">
        <v>1529</v>
      </c>
      <c r="G511" t="s">
        <v>137</v>
      </c>
    </row>
    <row r="512" spans="1:7" x14ac:dyDescent="0.2">
      <c r="A512" s="5">
        <v>46143</v>
      </c>
      <c r="B512" t="s">
        <v>134</v>
      </c>
      <c r="C512" t="s">
        <v>114</v>
      </c>
      <c r="D512" t="s">
        <v>91</v>
      </c>
      <c r="F512" s="6">
        <v>1019</v>
      </c>
      <c r="G512" t="s">
        <v>137</v>
      </c>
    </row>
    <row r="513" spans="1:7" x14ac:dyDescent="0.2">
      <c r="A513" s="5">
        <v>46143</v>
      </c>
      <c r="B513" t="s">
        <v>134</v>
      </c>
      <c r="C513" t="s">
        <v>118</v>
      </c>
      <c r="D513" t="s">
        <v>67</v>
      </c>
      <c r="F513" s="6">
        <v>80080</v>
      </c>
      <c r="G513" t="s">
        <v>137</v>
      </c>
    </row>
    <row r="514" spans="1:7" x14ac:dyDescent="0.2">
      <c r="A514" s="5">
        <v>46143</v>
      </c>
      <c r="B514" t="s">
        <v>134</v>
      </c>
      <c r="C514" t="s">
        <v>118</v>
      </c>
      <c r="D514" t="s">
        <v>71</v>
      </c>
      <c r="F514" s="6">
        <v>17618</v>
      </c>
      <c r="G514" t="s">
        <v>137</v>
      </c>
    </row>
    <row r="515" spans="1:7" x14ac:dyDescent="0.2">
      <c r="A515" s="5">
        <v>46143</v>
      </c>
      <c r="B515" t="s">
        <v>134</v>
      </c>
      <c r="C515" t="s">
        <v>118</v>
      </c>
      <c r="D515" t="s">
        <v>75</v>
      </c>
      <c r="F515" s="6">
        <v>8008</v>
      </c>
      <c r="G515" t="s">
        <v>137</v>
      </c>
    </row>
    <row r="516" spans="1:7" x14ac:dyDescent="0.2">
      <c r="A516" s="5">
        <v>46143</v>
      </c>
      <c r="B516" t="s">
        <v>134</v>
      </c>
      <c r="C516" t="s">
        <v>118</v>
      </c>
      <c r="D516" t="s">
        <v>76</v>
      </c>
      <c r="F516" s="6">
        <v>4805</v>
      </c>
      <c r="G516" t="s">
        <v>137</v>
      </c>
    </row>
    <row r="517" spans="1:7" x14ac:dyDescent="0.2">
      <c r="A517" s="5">
        <v>46143</v>
      </c>
      <c r="B517" t="s">
        <v>134</v>
      </c>
      <c r="C517" t="s">
        <v>118</v>
      </c>
      <c r="D517" t="s">
        <v>79</v>
      </c>
      <c r="F517" s="6">
        <v>3203</v>
      </c>
      <c r="G517" t="s">
        <v>137</v>
      </c>
    </row>
    <row r="518" spans="1:7" x14ac:dyDescent="0.2">
      <c r="A518" s="5">
        <v>46143</v>
      </c>
      <c r="B518" t="s">
        <v>134</v>
      </c>
      <c r="C518" t="s">
        <v>118</v>
      </c>
      <c r="D518" t="s">
        <v>83</v>
      </c>
      <c r="F518" s="6">
        <v>46446</v>
      </c>
      <c r="G518" t="s">
        <v>137</v>
      </c>
    </row>
    <row r="519" spans="1:7" x14ac:dyDescent="0.2">
      <c r="A519" s="5">
        <v>46143</v>
      </c>
      <c r="B519" t="s">
        <v>134</v>
      </c>
      <c r="C519" t="s">
        <v>118</v>
      </c>
      <c r="D519" t="s">
        <v>85</v>
      </c>
      <c r="F519" s="6">
        <v>25626</v>
      </c>
      <c r="G519" t="s">
        <v>137</v>
      </c>
    </row>
    <row r="520" spans="1:7" x14ac:dyDescent="0.2">
      <c r="A520" s="5">
        <v>46143</v>
      </c>
      <c r="B520" t="s">
        <v>134</v>
      </c>
      <c r="C520" t="s">
        <v>118</v>
      </c>
      <c r="D520" t="s">
        <v>87</v>
      </c>
      <c r="F520" s="6">
        <v>2402</v>
      </c>
      <c r="G520" t="s">
        <v>137</v>
      </c>
    </row>
    <row r="521" spans="1:7" x14ac:dyDescent="0.2">
      <c r="A521" s="5">
        <v>46143</v>
      </c>
      <c r="B521" t="s">
        <v>134</v>
      </c>
      <c r="C521" t="s">
        <v>118</v>
      </c>
      <c r="D521" t="s">
        <v>91</v>
      </c>
      <c r="F521" s="6">
        <v>1602</v>
      </c>
      <c r="G521" t="s">
        <v>137</v>
      </c>
    </row>
    <row r="522" spans="1:7" x14ac:dyDescent="0.2">
      <c r="A522" s="5">
        <v>46174</v>
      </c>
      <c r="B522" t="s">
        <v>129</v>
      </c>
      <c r="C522" t="s">
        <v>122</v>
      </c>
      <c r="D522" t="s">
        <v>54</v>
      </c>
      <c r="E522" t="s">
        <v>130</v>
      </c>
      <c r="F522" s="6">
        <v>1865897</v>
      </c>
      <c r="G522" t="s">
        <v>137</v>
      </c>
    </row>
    <row r="523" spans="1:7" x14ac:dyDescent="0.2">
      <c r="A523" s="5">
        <v>46174</v>
      </c>
      <c r="B523" t="s">
        <v>129</v>
      </c>
      <c r="C523" t="s">
        <v>122</v>
      </c>
      <c r="D523" t="s">
        <v>54</v>
      </c>
      <c r="E523" t="s">
        <v>132</v>
      </c>
      <c r="F523" s="6">
        <v>1004714</v>
      </c>
      <c r="G523" t="s">
        <v>137</v>
      </c>
    </row>
    <row r="524" spans="1:7" x14ac:dyDescent="0.2">
      <c r="A524" s="5">
        <v>46174</v>
      </c>
      <c r="B524" t="s">
        <v>129</v>
      </c>
      <c r="C524" t="s">
        <v>122</v>
      </c>
      <c r="D524" t="s">
        <v>58</v>
      </c>
      <c r="E524" t="s">
        <v>133</v>
      </c>
      <c r="F524" s="6">
        <v>287061</v>
      </c>
      <c r="G524" t="s">
        <v>137</v>
      </c>
    </row>
    <row r="525" spans="1:7" x14ac:dyDescent="0.2">
      <c r="A525" s="5">
        <v>46174</v>
      </c>
      <c r="B525" t="s">
        <v>129</v>
      </c>
      <c r="C525" t="s">
        <v>97</v>
      </c>
      <c r="D525" t="s">
        <v>67</v>
      </c>
      <c r="F525" s="6">
        <v>346500</v>
      </c>
      <c r="G525" t="s">
        <v>137</v>
      </c>
    </row>
    <row r="526" spans="1:7" x14ac:dyDescent="0.2">
      <c r="A526" s="5">
        <v>46174</v>
      </c>
      <c r="B526" t="s">
        <v>129</v>
      </c>
      <c r="C526" t="s">
        <v>97</v>
      </c>
      <c r="D526" t="s">
        <v>71</v>
      </c>
      <c r="F526" s="6">
        <v>76230</v>
      </c>
      <c r="G526" t="s">
        <v>137</v>
      </c>
    </row>
    <row r="527" spans="1:7" x14ac:dyDescent="0.2">
      <c r="A527" s="5">
        <v>46174</v>
      </c>
      <c r="B527" t="s">
        <v>129</v>
      </c>
      <c r="C527" t="s">
        <v>97</v>
      </c>
      <c r="D527" t="s">
        <v>73</v>
      </c>
      <c r="F527" s="6">
        <v>121275</v>
      </c>
      <c r="G527" t="s">
        <v>137</v>
      </c>
    </row>
    <row r="528" spans="1:7" x14ac:dyDescent="0.2">
      <c r="A528" s="5">
        <v>46174</v>
      </c>
      <c r="B528" t="s">
        <v>129</v>
      </c>
      <c r="C528" t="s">
        <v>97</v>
      </c>
      <c r="D528" t="s">
        <v>75</v>
      </c>
      <c r="F528" s="6">
        <v>34650</v>
      </c>
      <c r="G528" t="s">
        <v>137</v>
      </c>
    </row>
    <row r="529" spans="1:7" x14ac:dyDescent="0.2">
      <c r="A529" s="5">
        <v>46174</v>
      </c>
      <c r="B529" t="s">
        <v>129</v>
      </c>
      <c r="C529" t="s">
        <v>97</v>
      </c>
      <c r="D529" t="s">
        <v>76</v>
      </c>
      <c r="F529" s="6">
        <v>20790</v>
      </c>
      <c r="G529" t="s">
        <v>137</v>
      </c>
    </row>
    <row r="530" spans="1:7" x14ac:dyDescent="0.2">
      <c r="A530" s="5">
        <v>46174</v>
      </c>
      <c r="B530" t="s">
        <v>129</v>
      </c>
      <c r="C530" t="s">
        <v>97</v>
      </c>
      <c r="D530" t="s">
        <v>79</v>
      </c>
      <c r="F530" s="6">
        <v>27720</v>
      </c>
      <c r="G530" t="s">
        <v>137</v>
      </c>
    </row>
    <row r="531" spans="1:7" x14ac:dyDescent="0.2">
      <c r="A531" s="5">
        <v>46174</v>
      </c>
      <c r="B531" t="s">
        <v>129</v>
      </c>
      <c r="C531" t="s">
        <v>97</v>
      </c>
      <c r="D531" t="s">
        <v>87</v>
      </c>
      <c r="F531" s="6">
        <v>10395</v>
      </c>
      <c r="G531" t="s">
        <v>137</v>
      </c>
    </row>
    <row r="532" spans="1:7" x14ac:dyDescent="0.2">
      <c r="A532" s="5">
        <v>46174</v>
      </c>
      <c r="B532" t="s">
        <v>129</v>
      </c>
      <c r="C532" t="s">
        <v>97</v>
      </c>
      <c r="D532" t="s">
        <v>91</v>
      </c>
      <c r="F532" s="6">
        <v>6930</v>
      </c>
      <c r="G532" t="s">
        <v>137</v>
      </c>
    </row>
    <row r="533" spans="1:7" x14ac:dyDescent="0.2">
      <c r="A533" s="5">
        <v>46174</v>
      </c>
      <c r="B533" t="s">
        <v>129</v>
      </c>
      <c r="C533" t="s">
        <v>102</v>
      </c>
      <c r="D533" t="s">
        <v>67</v>
      </c>
      <c r="F533" s="6">
        <v>157500</v>
      </c>
      <c r="G533" t="s">
        <v>137</v>
      </c>
    </row>
    <row r="534" spans="1:7" x14ac:dyDescent="0.2">
      <c r="A534" s="5">
        <v>46174</v>
      </c>
      <c r="B534" t="s">
        <v>129</v>
      </c>
      <c r="C534" t="s">
        <v>102</v>
      </c>
      <c r="D534" t="s">
        <v>71</v>
      </c>
      <c r="F534" s="6">
        <v>34650</v>
      </c>
      <c r="G534" t="s">
        <v>137</v>
      </c>
    </row>
    <row r="535" spans="1:7" x14ac:dyDescent="0.2">
      <c r="A535" s="5">
        <v>46174</v>
      </c>
      <c r="B535" t="s">
        <v>129</v>
      </c>
      <c r="C535" t="s">
        <v>102</v>
      </c>
      <c r="D535" t="s">
        <v>75</v>
      </c>
      <c r="F535" s="6">
        <v>15750</v>
      </c>
      <c r="G535" t="s">
        <v>137</v>
      </c>
    </row>
    <row r="536" spans="1:7" x14ac:dyDescent="0.2">
      <c r="A536" s="5">
        <v>46174</v>
      </c>
      <c r="B536" t="s">
        <v>129</v>
      </c>
      <c r="C536" t="s">
        <v>102</v>
      </c>
      <c r="D536" t="s">
        <v>76</v>
      </c>
      <c r="F536" s="6">
        <v>9450</v>
      </c>
      <c r="G536" t="s">
        <v>137</v>
      </c>
    </row>
    <row r="537" spans="1:7" x14ac:dyDescent="0.2">
      <c r="A537" s="5">
        <v>46174</v>
      </c>
      <c r="B537" t="s">
        <v>129</v>
      </c>
      <c r="C537" t="s">
        <v>102</v>
      </c>
      <c r="D537" t="s">
        <v>79</v>
      </c>
      <c r="F537" s="6">
        <v>12600</v>
      </c>
      <c r="G537" t="s">
        <v>137</v>
      </c>
    </row>
    <row r="538" spans="1:7" x14ac:dyDescent="0.2">
      <c r="A538" s="5">
        <v>46174</v>
      </c>
      <c r="B538" t="s">
        <v>129</v>
      </c>
      <c r="C538" t="s">
        <v>102</v>
      </c>
      <c r="D538" t="s">
        <v>81</v>
      </c>
      <c r="F538" s="6">
        <v>212625</v>
      </c>
      <c r="G538" t="s">
        <v>137</v>
      </c>
    </row>
    <row r="539" spans="1:7" x14ac:dyDescent="0.2">
      <c r="A539" s="5">
        <v>46174</v>
      </c>
      <c r="B539" t="s">
        <v>129</v>
      </c>
      <c r="C539" t="s">
        <v>102</v>
      </c>
      <c r="D539" t="s">
        <v>87</v>
      </c>
      <c r="F539" s="6">
        <v>4725</v>
      </c>
      <c r="G539" t="s">
        <v>137</v>
      </c>
    </row>
    <row r="540" spans="1:7" x14ac:dyDescent="0.2">
      <c r="A540" s="5">
        <v>46174</v>
      </c>
      <c r="B540" t="s">
        <v>129</v>
      </c>
      <c r="C540" t="s">
        <v>102</v>
      </c>
      <c r="D540" t="s">
        <v>91</v>
      </c>
      <c r="F540" s="6">
        <v>3150</v>
      </c>
      <c r="G540" t="s">
        <v>137</v>
      </c>
    </row>
    <row r="541" spans="1:7" x14ac:dyDescent="0.2">
      <c r="A541" s="5">
        <v>46174</v>
      </c>
      <c r="B541" t="s">
        <v>129</v>
      </c>
      <c r="C541" t="s">
        <v>106</v>
      </c>
      <c r="D541" t="s">
        <v>65</v>
      </c>
      <c r="F541" s="6">
        <v>71400</v>
      </c>
      <c r="G541" t="s">
        <v>137</v>
      </c>
    </row>
    <row r="542" spans="1:7" x14ac:dyDescent="0.2">
      <c r="A542" s="5">
        <v>46174</v>
      </c>
      <c r="B542" t="s">
        <v>129</v>
      </c>
      <c r="C542" t="s">
        <v>106</v>
      </c>
      <c r="D542" t="s">
        <v>67</v>
      </c>
      <c r="F542" s="6">
        <v>178500</v>
      </c>
      <c r="G542" t="s">
        <v>137</v>
      </c>
    </row>
    <row r="543" spans="1:7" x14ac:dyDescent="0.2">
      <c r="A543" s="5">
        <v>46174</v>
      </c>
      <c r="B543" t="s">
        <v>129</v>
      </c>
      <c r="C543" t="s">
        <v>106</v>
      </c>
      <c r="D543" t="s">
        <v>71</v>
      </c>
      <c r="F543" s="6">
        <v>39270</v>
      </c>
      <c r="G543" t="s">
        <v>137</v>
      </c>
    </row>
    <row r="544" spans="1:7" x14ac:dyDescent="0.2">
      <c r="A544" s="5">
        <v>46174</v>
      </c>
      <c r="B544" t="s">
        <v>129</v>
      </c>
      <c r="C544" t="s">
        <v>106</v>
      </c>
      <c r="D544" t="s">
        <v>75</v>
      </c>
      <c r="F544" s="6">
        <v>17850</v>
      </c>
      <c r="G544" t="s">
        <v>137</v>
      </c>
    </row>
    <row r="545" spans="1:7" x14ac:dyDescent="0.2">
      <c r="A545" s="5">
        <v>46174</v>
      </c>
      <c r="B545" t="s">
        <v>129</v>
      </c>
      <c r="C545" t="s">
        <v>106</v>
      </c>
      <c r="D545" t="s">
        <v>76</v>
      </c>
      <c r="F545" s="6">
        <v>10710</v>
      </c>
      <c r="G545" t="s">
        <v>137</v>
      </c>
    </row>
    <row r="546" spans="1:7" x14ac:dyDescent="0.2">
      <c r="A546" s="5">
        <v>46174</v>
      </c>
      <c r="B546" t="s">
        <v>129</v>
      </c>
      <c r="C546" t="s">
        <v>106</v>
      </c>
      <c r="D546" t="s">
        <v>79</v>
      </c>
      <c r="F546" s="6">
        <v>7140</v>
      </c>
      <c r="G546" t="s">
        <v>137</v>
      </c>
    </row>
    <row r="547" spans="1:7" x14ac:dyDescent="0.2">
      <c r="A547" s="5">
        <v>46174</v>
      </c>
      <c r="B547" t="s">
        <v>129</v>
      </c>
      <c r="C547" t="s">
        <v>106</v>
      </c>
      <c r="D547" t="s">
        <v>87</v>
      </c>
      <c r="F547" s="6">
        <v>5355</v>
      </c>
      <c r="G547" t="s">
        <v>137</v>
      </c>
    </row>
    <row r="548" spans="1:7" x14ac:dyDescent="0.2">
      <c r="A548" s="5">
        <v>46174</v>
      </c>
      <c r="B548" t="s">
        <v>129</v>
      </c>
      <c r="C548" t="s">
        <v>106</v>
      </c>
      <c r="D548" t="s">
        <v>91</v>
      </c>
      <c r="F548" s="6">
        <v>3570</v>
      </c>
      <c r="G548" t="s">
        <v>137</v>
      </c>
    </row>
    <row r="549" spans="1:7" x14ac:dyDescent="0.2">
      <c r="A549" s="5">
        <v>46174</v>
      </c>
      <c r="B549" t="s">
        <v>129</v>
      </c>
      <c r="C549" t="s">
        <v>110</v>
      </c>
      <c r="D549" t="s">
        <v>61</v>
      </c>
      <c r="F549" s="6">
        <v>546000</v>
      </c>
      <c r="G549" t="s">
        <v>137</v>
      </c>
    </row>
    <row r="550" spans="1:7" x14ac:dyDescent="0.2">
      <c r="A550" s="5">
        <v>46174</v>
      </c>
      <c r="B550" t="s">
        <v>129</v>
      </c>
      <c r="C550" t="s">
        <v>110</v>
      </c>
      <c r="D550" t="s">
        <v>67</v>
      </c>
      <c r="F550" s="6">
        <v>546000</v>
      </c>
      <c r="G550" t="s">
        <v>137</v>
      </c>
    </row>
    <row r="551" spans="1:7" x14ac:dyDescent="0.2">
      <c r="A551" s="5">
        <v>46174</v>
      </c>
      <c r="B551" t="s">
        <v>129</v>
      </c>
      <c r="C551" t="s">
        <v>110</v>
      </c>
      <c r="D551" t="s">
        <v>71</v>
      </c>
      <c r="F551" s="6">
        <v>120120</v>
      </c>
      <c r="G551" t="s">
        <v>137</v>
      </c>
    </row>
    <row r="552" spans="1:7" x14ac:dyDescent="0.2">
      <c r="A552" s="5">
        <v>46174</v>
      </c>
      <c r="B552" t="s">
        <v>129</v>
      </c>
      <c r="C552" t="s">
        <v>110</v>
      </c>
      <c r="D552" t="s">
        <v>75</v>
      </c>
      <c r="F552" s="6">
        <v>54600</v>
      </c>
      <c r="G552" t="s">
        <v>137</v>
      </c>
    </row>
    <row r="553" spans="1:7" x14ac:dyDescent="0.2">
      <c r="A553" s="5">
        <v>46174</v>
      </c>
      <c r="B553" t="s">
        <v>129</v>
      </c>
      <c r="C553" t="s">
        <v>110</v>
      </c>
      <c r="D553" t="s">
        <v>76</v>
      </c>
      <c r="F553" s="6">
        <v>32760</v>
      </c>
      <c r="G553" t="s">
        <v>137</v>
      </c>
    </row>
    <row r="554" spans="1:7" x14ac:dyDescent="0.2">
      <c r="A554" s="5">
        <v>46174</v>
      </c>
      <c r="B554" t="s">
        <v>129</v>
      </c>
      <c r="C554" t="s">
        <v>110</v>
      </c>
      <c r="D554" t="s">
        <v>79</v>
      </c>
      <c r="F554" s="6">
        <v>21840</v>
      </c>
      <c r="G554" t="s">
        <v>137</v>
      </c>
    </row>
    <row r="555" spans="1:7" x14ac:dyDescent="0.2">
      <c r="A555" s="5">
        <v>46174</v>
      </c>
      <c r="B555" t="s">
        <v>129</v>
      </c>
      <c r="C555" t="s">
        <v>110</v>
      </c>
      <c r="D555" t="s">
        <v>87</v>
      </c>
      <c r="F555" s="6">
        <v>16380</v>
      </c>
      <c r="G555" t="s">
        <v>137</v>
      </c>
    </row>
    <row r="556" spans="1:7" x14ac:dyDescent="0.2">
      <c r="A556" s="5">
        <v>46174</v>
      </c>
      <c r="B556" t="s">
        <v>129</v>
      </c>
      <c r="C556" t="s">
        <v>110</v>
      </c>
      <c r="D556" t="s">
        <v>89</v>
      </c>
      <c r="F556" s="6">
        <v>92820</v>
      </c>
      <c r="G556" t="s">
        <v>137</v>
      </c>
    </row>
    <row r="557" spans="1:7" x14ac:dyDescent="0.2">
      <c r="A557" s="5">
        <v>46174</v>
      </c>
      <c r="B557" t="s">
        <v>129</v>
      </c>
      <c r="C557" t="s">
        <v>110</v>
      </c>
      <c r="D557" t="s">
        <v>91</v>
      </c>
      <c r="F557" s="6">
        <v>10920</v>
      </c>
      <c r="G557" t="s">
        <v>137</v>
      </c>
    </row>
    <row r="558" spans="1:7" x14ac:dyDescent="0.2">
      <c r="A558" s="5">
        <v>46174</v>
      </c>
      <c r="B558" t="s">
        <v>129</v>
      </c>
      <c r="C558" t="s">
        <v>114</v>
      </c>
      <c r="D558" t="s">
        <v>67</v>
      </c>
      <c r="F558" s="6">
        <v>147000</v>
      </c>
      <c r="G558" t="s">
        <v>137</v>
      </c>
    </row>
    <row r="559" spans="1:7" x14ac:dyDescent="0.2">
      <c r="A559" s="5">
        <v>46174</v>
      </c>
      <c r="B559" t="s">
        <v>129</v>
      </c>
      <c r="C559" t="s">
        <v>114</v>
      </c>
      <c r="D559" t="s">
        <v>71</v>
      </c>
      <c r="F559" s="6">
        <v>32340</v>
      </c>
      <c r="G559" t="s">
        <v>137</v>
      </c>
    </row>
    <row r="560" spans="1:7" x14ac:dyDescent="0.2">
      <c r="A560" s="5">
        <v>46174</v>
      </c>
      <c r="B560" t="s">
        <v>129</v>
      </c>
      <c r="C560" t="s">
        <v>114</v>
      </c>
      <c r="D560" t="s">
        <v>75</v>
      </c>
      <c r="F560" s="6">
        <v>14700</v>
      </c>
      <c r="G560" t="s">
        <v>137</v>
      </c>
    </row>
    <row r="561" spans="1:7" x14ac:dyDescent="0.2">
      <c r="A561" s="5">
        <v>46174</v>
      </c>
      <c r="B561" t="s">
        <v>129</v>
      </c>
      <c r="C561" t="s">
        <v>114</v>
      </c>
      <c r="D561" t="s">
        <v>76</v>
      </c>
      <c r="F561" s="6">
        <v>8820</v>
      </c>
      <c r="G561" t="s">
        <v>137</v>
      </c>
    </row>
    <row r="562" spans="1:7" x14ac:dyDescent="0.2">
      <c r="A562" s="5">
        <v>46174</v>
      </c>
      <c r="B562" t="s">
        <v>129</v>
      </c>
      <c r="C562" t="s">
        <v>114</v>
      </c>
      <c r="D562" t="s">
        <v>79</v>
      </c>
      <c r="F562" s="6">
        <v>5880</v>
      </c>
      <c r="G562" t="s">
        <v>137</v>
      </c>
    </row>
    <row r="563" spans="1:7" x14ac:dyDescent="0.2">
      <c r="A563" s="5">
        <v>46174</v>
      </c>
      <c r="B563" t="s">
        <v>129</v>
      </c>
      <c r="C563" t="s">
        <v>114</v>
      </c>
      <c r="D563" t="s">
        <v>87</v>
      </c>
      <c r="F563" s="6">
        <v>4410</v>
      </c>
      <c r="G563" t="s">
        <v>137</v>
      </c>
    </row>
    <row r="564" spans="1:7" x14ac:dyDescent="0.2">
      <c r="A564" s="5">
        <v>46174</v>
      </c>
      <c r="B564" t="s">
        <v>129</v>
      </c>
      <c r="C564" t="s">
        <v>114</v>
      </c>
      <c r="D564" t="s">
        <v>91</v>
      </c>
      <c r="F564" s="6">
        <v>2940</v>
      </c>
      <c r="G564" t="s">
        <v>137</v>
      </c>
    </row>
    <row r="565" spans="1:7" x14ac:dyDescent="0.2">
      <c r="A565" s="5">
        <v>46174</v>
      </c>
      <c r="B565" t="s">
        <v>129</v>
      </c>
      <c r="C565" t="s">
        <v>118</v>
      </c>
      <c r="D565" t="s">
        <v>67</v>
      </c>
      <c r="F565" s="6">
        <v>231000</v>
      </c>
      <c r="G565" t="s">
        <v>137</v>
      </c>
    </row>
    <row r="566" spans="1:7" x14ac:dyDescent="0.2">
      <c r="A566" s="5">
        <v>46174</v>
      </c>
      <c r="B566" t="s">
        <v>129</v>
      </c>
      <c r="C566" t="s">
        <v>118</v>
      </c>
      <c r="D566" t="s">
        <v>71</v>
      </c>
      <c r="F566" s="6">
        <v>50820</v>
      </c>
      <c r="G566" t="s">
        <v>137</v>
      </c>
    </row>
    <row r="567" spans="1:7" x14ac:dyDescent="0.2">
      <c r="A567" s="5">
        <v>46174</v>
      </c>
      <c r="B567" t="s">
        <v>129</v>
      </c>
      <c r="C567" t="s">
        <v>118</v>
      </c>
      <c r="D567" t="s">
        <v>75</v>
      </c>
      <c r="F567" s="6">
        <v>23100</v>
      </c>
      <c r="G567" t="s">
        <v>137</v>
      </c>
    </row>
    <row r="568" spans="1:7" x14ac:dyDescent="0.2">
      <c r="A568" s="5">
        <v>46174</v>
      </c>
      <c r="B568" t="s">
        <v>129</v>
      </c>
      <c r="C568" t="s">
        <v>118</v>
      </c>
      <c r="D568" t="s">
        <v>76</v>
      </c>
      <c r="F568" s="6">
        <v>13860</v>
      </c>
      <c r="G568" t="s">
        <v>137</v>
      </c>
    </row>
    <row r="569" spans="1:7" x14ac:dyDescent="0.2">
      <c r="A569" s="5">
        <v>46174</v>
      </c>
      <c r="B569" t="s">
        <v>129</v>
      </c>
      <c r="C569" t="s">
        <v>118</v>
      </c>
      <c r="D569" t="s">
        <v>79</v>
      </c>
      <c r="F569" s="6">
        <v>9240</v>
      </c>
      <c r="G569" t="s">
        <v>137</v>
      </c>
    </row>
    <row r="570" spans="1:7" x14ac:dyDescent="0.2">
      <c r="A570" s="5">
        <v>46174</v>
      </c>
      <c r="B570" t="s">
        <v>129</v>
      </c>
      <c r="C570" t="s">
        <v>118</v>
      </c>
      <c r="D570" t="s">
        <v>83</v>
      </c>
      <c r="F570" s="6">
        <v>133980</v>
      </c>
      <c r="G570" t="s">
        <v>137</v>
      </c>
    </row>
    <row r="571" spans="1:7" x14ac:dyDescent="0.2">
      <c r="A571" s="5">
        <v>46174</v>
      </c>
      <c r="B571" t="s">
        <v>129</v>
      </c>
      <c r="C571" t="s">
        <v>118</v>
      </c>
      <c r="D571" t="s">
        <v>85</v>
      </c>
      <c r="F571" s="6">
        <v>73920</v>
      </c>
      <c r="G571" t="s">
        <v>137</v>
      </c>
    </row>
    <row r="572" spans="1:7" x14ac:dyDescent="0.2">
      <c r="A572" s="5">
        <v>46174</v>
      </c>
      <c r="B572" t="s">
        <v>129</v>
      </c>
      <c r="C572" t="s">
        <v>118</v>
      </c>
      <c r="D572" t="s">
        <v>87</v>
      </c>
      <c r="F572" s="6">
        <v>6930</v>
      </c>
      <c r="G572" t="s">
        <v>137</v>
      </c>
    </row>
    <row r="573" spans="1:7" x14ac:dyDescent="0.2">
      <c r="A573" s="5">
        <v>46174</v>
      </c>
      <c r="B573" t="s">
        <v>129</v>
      </c>
      <c r="C573" t="s">
        <v>118</v>
      </c>
      <c r="D573" t="s">
        <v>91</v>
      </c>
      <c r="F573" s="6">
        <v>4620</v>
      </c>
      <c r="G573" t="s">
        <v>137</v>
      </c>
    </row>
    <row r="574" spans="1:7" x14ac:dyDescent="0.2">
      <c r="A574" s="5">
        <v>46174</v>
      </c>
      <c r="B574" t="s">
        <v>134</v>
      </c>
      <c r="C574" t="s">
        <v>122</v>
      </c>
      <c r="D574" t="s">
        <v>54</v>
      </c>
      <c r="E574" t="s">
        <v>130</v>
      </c>
      <c r="F574" s="6">
        <v>653064</v>
      </c>
      <c r="G574" t="s">
        <v>137</v>
      </c>
    </row>
    <row r="575" spans="1:7" x14ac:dyDescent="0.2">
      <c r="A575" s="5">
        <v>46174</v>
      </c>
      <c r="B575" t="s">
        <v>134</v>
      </c>
      <c r="C575" t="s">
        <v>122</v>
      </c>
      <c r="D575" t="s">
        <v>54</v>
      </c>
      <c r="E575" t="s">
        <v>132</v>
      </c>
      <c r="F575" s="6">
        <v>351650</v>
      </c>
      <c r="G575" t="s">
        <v>137</v>
      </c>
    </row>
    <row r="576" spans="1:7" x14ac:dyDescent="0.2">
      <c r="A576" s="5">
        <v>46174</v>
      </c>
      <c r="B576" t="s">
        <v>134</v>
      </c>
      <c r="C576" t="s">
        <v>122</v>
      </c>
      <c r="D576" t="s">
        <v>58</v>
      </c>
      <c r="E576" t="s">
        <v>133</v>
      </c>
      <c r="F576" s="6">
        <v>100471</v>
      </c>
      <c r="G576" t="s">
        <v>137</v>
      </c>
    </row>
    <row r="577" spans="1:7" x14ac:dyDescent="0.2">
      <c r="A577" s="5">
        <v>46174</v>
      </c>
      <c r="B577" t="s">
        <v>134</v>
      </c>
      <c r="C577" t="s">
        <v>97</v>
      </c>
      <c r="D577" t="s">
        <v>67</v>
      </c>
      <c r="F577" s="6">
        <v>121275</v>
      </c>
      <c r="G577" t="s">
        <v>137</v>
      </c>
    </row>
    <row r="578" spans="1:7" x14ac:dyDescent="0.2">
      <c r="A578" s="5">
        <v>46174</v>
      </c>
      <c r="B578" t="s">
        <v>134</v>
      </c>
      <c r="C578" t="s">
        <v>97</v>
      </c>
      <c r="D578" t="s">
        <v>71</v>
      </c>
      <c r="F578" s="6">
        <v>26680</v>
      </c>
      <c r="G578" t="s">
        <v>137</v>
      </c>
    </row>
    <row r="579" spans="1:7" x14ac:dyDescent="0.2">
      <c r="A579" s="5">
        <v>46174</v>
      </c>
      <c r="B579" t="s">
        <v>134</v>
      </c>
      <c r="C579" t="s">
        <v>97</v>
      </c>
      <c r="D579" t="s">
        <v>73</v>
      </c>
      <c r="F579" s="6">
        <v>42446</v>
      </c>
      <c r="G579" t="s">
        <v>137</v>
      </c>
    </row>
    <row r="580" spans="1:7" x14ac:dyDescent="0.2">
      <c r="A580" s="5">
        <v>46174</v>
      </c>
      <c r="B580" t="s">
        <v>134</v>
      </c>
      <c r="C580" t="s">
        <v>97</v>
      </c>
      <c r="D580" t="s">
        <v>75</v>
      </c>
      <c r="F580" s="6">
        <v>12128</v>
      </c>
      <c r="G580" t="s">
        <v>137</v>
      </c>
    </row>
    <row r="581" spans="1:7" x14ac:dyDescent="0.2">
      <c r="A581" s="5">
        <v>46174</v>
      </c>
      <c r="B581" t="s">
        <v>134</v>
      </c>
      <c r="C581" t="s">
        <v>97</v>
      </c>
      <c r="D581" t="s">
        <v>76</v>
      </c>
      <c r="F581" s="6">
        <v>7276</v>
      </c>
      <c r="G581" t="s">
        <v>137</v>
      </c>
    </row>
    <row r="582" spans="1:7" x14ac:dyDescent="0.2">
      <c r="A582" s="5">
        <v>46174</v>
      </c>
      <c r="B582" t="s">
        <v>134</v>
      </c>
      <c r="C582" t="s">
        <v>97</v>
      </c>
      <c r="D582" t="s">
        <v>79</v>
      </c>
      <c r="F582" s="6">
        <v>9702</v>
      </c>
      <c r="G582" t="s">
        <v>137</v>
      </c>
    </row>
    <row r="583" spans="1:7" x14ac:dyDescent="0.2">
      <c r="A583" s="5">
        <v>46174</v>
      </c>
      <c r="B583" t="s">
        <v>134</v>
      </c>
      <c r="C583" t="s">
        <v>97</v>
      </c>
      <c r="D583" t="s">
        <v>87</v>
      </c>
      <c r="F583" s="6">
        <v>3638</v>
      </c>
      <c r="G583" t="s">
        <v>137</v>
      </c>
    </row>
    <row r="584" spans="1:7" x14ac:dyDescent="0.2">
      <c r="A584" s="5">
        <v>46174</v>
      </c>
      <c r="B584" t="s">
        <v>134</v>
      </c>
      <c r="C584" t="s">
        <v>97</v>
      </c>
      <c r="D584" t="s">
        <v>91</v>
      </c>
      <c r="F584" s="6">
        <v>2426</v>
      </c>
      <c r="G584" t="s">
        <v>137</v>
      </c>
    </row>
    <row r="585" spans="1:7" x14ac:dyDescent="0.2">
      <c r="A585" s="5">
        <v>46174</v>
      </c>
      <c r="B585" t="s">
        <v>134</v>
      </c>
      <c r="C585" t="s">
        <v>102</v>
      </c>
      <c r="D585" t="s">
        <v>67</v>
      </c>
      <c r="F585" s="6">
        <v>55125</v>
      </c>
      <c r="G585" t="s">
        <v>137</v>
      </c>
    </row>
    <row r="586" spans="1:7" x14ac:dyDescent="0.2">
      <c r="A586" s="5">
        <v>46174</v>
      </c>
      <c r="B586" t="s">
        <v>134</v>
      </c>
      <c r="C586" t="s">
        <v>102</v>
      </c>
      <c r="D586" t="s">
        <v>71</v>
      </c>
      <c r="F586" s="6">
        <v>12128</v>
      </c>
      <c r="G586" t="s">
        <v>137</v>
      </c>
    </row>
    <row r="587" spans="1:7" x14ac:dyDescent="0.2">
      <c r="A587" s="5">
        <v>46174</v>
      </c>
      <c r="B587" t="s">
        <v>134</v>
      </c>
      <c r="C587" t="s">
        <v>102</v>
      </c>
      <c r="D587" t="s">
        <v>75</v>
      </c>
      <c r="F587" s="6">
        <v>5512</v>
      </c>
      <c r="G587" t="s">
        <v>137</v>
      </c>
    </row>
    <row r="588" spans="1:7" x14ac:dyDescent="0.2">
      <c r="A588" s="5">
        <v>46174</v>
      </c>
      <c r="B588" t="s">
        <v>134</v>
      </c>
      <c r="C588" t="s">
        <v>102</v>
      </c>
      <c r="D588" t="s">
        <v>76</v>
      </c>
      <c r="F588" s="6">
        <v>3308</v>
      </c>
      <c r="G588" t="s">
        <v>137</v>
      </c>
    </row>
    <row r="589" spans="1:7" x14ac:dyDescent="0.2">
      <c r="A589" s="5">
        <v>46174</v>
      </c>
      <c r="B589" t="s">
        <v>134</v>
      </c>
      <c r="C589" t="s">
        <v>102</v>
      </c>
      <c r="D589" t="s">
        <v>79</v>
      </c>
      <c r="F589" s="6">
        <v>4410</v>
      </c>
      <c r="G589" t="s">
        <v>137</v>
      </c>
    </row>
    <row r="590" spans="1:7" x14ac:dyDescent="0.2">
      <c r="A590" s="5">
        <v>46174</v>
      </c>
      <c r="B590" t="s">
        <v>134</v>
      </c>
      <c r="C590" t="s">
        <v>102</v>
      </c>
      <c r="D590" t="s">
        <v>81</v>
      </c>
      <c r="F590" s="6">
        <v>74419</v>
      </c>
      <c r="G590" t="s">
        <v>137</v>
      </c>
    </row>
    <row r="591" spans="1:7" x14ac:dyDescent="0.2">
      <c r="A591" s="5">
        <v>46174</v>
      </c>
      <c r="B591" t="s">
        <v>134</v>
      </c>
      <c r="C591" t="s">
        <v>102</v>
      </c>
      <c r="D591" t="s">
        <v>87</v>
      </c>
      <c r="F591" s="6">
        <v>1654</v>
      </c>
      <c r="G591" t="s">
        <v>137</v>
      </c>
    </row>
    <row r="592" spans="1:7" x14ac:dyDescent="0.2">
      <c r="A592" s="5">
        <v>46174</v>
      </c>
      <c r="B592" t="s">
        <v>134</v>
      </c>
      <c r="C592" t="s">
        <v>102</v>
      </c>
      <c r="D592" t="s">
        <v>91</v>
      </c>
      <c r="F592" s="6">
        <v>1102</v>
      </c>
      <c r="G592" t="s">
        <v>137</v>
      </c>
    </row>
    <row r="593" spans="1:7" x14ac:dyDescent="0.2">
      <c r="A593" s="5">
        <v>46174</v>
      </c>
      <c r="B593" t="s">
        <v>134</v>
      </c>
      <c r="C593" t="s">
        <v>106</v>
      </c>
      <c r="D593" t="s">
        <v>65</v>
      </c>
      <c r="F593" s="6">
        <v>24990</v>
      </c>
      <c r="G593" t="s">
        <v>137</v>
      </c>
    </row>
    <row r="594" spans="1:7" x14ac:dyDescent="0.2">
      <c r="A594" s="5">
        <v>46174</v>
      </c>
      <c r="B594" t="s">
        <v>134</v>
      </c>
      <c r="C594" t="s">
        <v>106</v>
      </c>
      <c r="D594" t="s">
        <v>67</v>
      </c>
      <c r="F594" s="6">
        <v>62475</v>
      </c>
      <c r="G594" t="s">
        <v>137</v>
      </c>
    </row>
    <row r="595" spans="1:7" x14ac:dyDescent="0.2">
      <c r="A595" s="5">
        <v>46174</v>
      </c>
      <c r="B595" t="s">
        <v>134</v>
      </c>
      <c r="C595" t="s">
        <v>106</v>
      </c>
      <c r="D595" t="s">
        <v>71</v>
      </c>
      <c r="F595" s="6">
        <v>13744</v>
      </c>
      <c r="G595" t="s">
        <v>137</v>
      </c>
    </row>
    <row r="596" spans="1:7" x14ac:dyDescent="0.2">
      <c r="A596" s="5">
        <v>46174</v>
      </c>
      <c r="B596" t="s">
        <v>134</v>
      </c>
      <c r="C596" t="s">
        <v>106</v>
      </c>
      <c r="D596" t="s">
        <v>75</v>
      </c>
      <c r="F596" s="6">
        <v>6248</v>
      </c>
      <c r="G596" t="s">
        <v>137</v>
      </c>
    </row>
    <row r="597" spans="1:7" x14ac:dyDescent="0.2">
      <c r="A597" s="5">
        <v>46174</v>
      </c>
      <c r="B597" t="s">
        <v>134</v>
      </c>
      <c r="C597" t="s">
        <v>106</v>
      </c>
      <c r="D597" t="s">
        <v>76</v>
      </c>
      <c r="F597" s="6">
        <v>3748</v>
      </c>
      <c r="G597" t="s">
        <v>137</v>
      </c>
    </row>
    <row r="598" spans="1:7" x14ac:dyDescent="0.2">
      <c r="A598" s="5">
        <v>46174</v>
      </c>
      <c r="B598" t="s">
        <v>134</v>
      </c>
      <c r="C598" t="s">
        <v>106</v>
      </c>
      <c r="D598" t="s">
        <v>79</v>
      </c>
      <c r="F598" s="6">
        <v>2499</v>
      </c>
      <c r="G598" t="s">
        <v>137</v>
      </c>
    </row>
    <row r="599" spans="1:7" x14ac:dyDescent="0.2">
      <c r="A599" s="5">
        <v>46174</v>
      </c>
      <c r="B599" t="s">
        <v>134</v>
      </c>
      <c r="C599" t="s">
        <v>106</v>
      </c>
      <c r="D599" t="s">
        <v>87</v>
      </c>
      <c r="F599" s="6">
        <v>1874</v>
      </c>
      <c r="G599" t="s">
        <v>137</v>
      </c>
    </row>
    <row r="600" spans="1:7" x14ac:dyDescent="0.2">
      <c r="A600" s="5">
        <v>46174</v>
      </c>
      <c r="B600" t="s">
        <v>134</v>
      </c>
      <c r="C600" t="s">
        <v>106</v>
      </c>
      <c r="D600" t="s">
        <v>91</v>
      </c>
      <c r="F600" s="6">
        <v>1250</v>
      </c>
      <c r="G600" t="s">
        <v>137</v>
      </c>
    </row>
    <row r="601" spans="1:7" x14ac:dyDescent="0.2">
      <c r="A601" s="5">
        <v>46174</v>
      </c>
      <c r="B601" t="s">
        <v>134</v>
      </c>
      <c r="C601" t="s">
        <v>110</v>
      </c>
      <c r="D601" t="s">
        <v>61</v>
      </c>
      <c r="F601" s="6">
        <v>191100</v>
      </c>
      <c r="G601" t="s">
        <v>137</v>
      </c>
    </row>
    <row r="602" spans="1:7" x14ac:dyDescent="0.2">
      <c r="A602" s="5">
        <v>46174</v>
      </c>
      <c r="B602" t="s">
        <v>134</v>
      </c>
      <c r="C602" t="s">
        <v>110</v>
      </c>
      <c r="D602" t="s">
        <v>67</v>
      </c>
      <c r="F602" s="6">
        <v>191100</v>
      </c>
      <c r="G602" t="s">
        <v>137</v>
      </c>
    </row>
    <row r="603" spans="1:7" x14ac:dyDescent="0.2">
      <c r="A603" s="5">
        <v>46174</v>
      </c>
      <c r="B603" t="s">
        <v>134</v>
      </c>
      <c r="C603" t="s">
        <v>110</v>
      </c>
      <c r="D603" t="s">
        <v>71</v>
      </c>
      <c r="F603" s="6">
        <v>42042</v>
      </c>
      <c r="G603" t="s">
        <v>137</v>
      </c>
    </row>
    <row r="604" spans="1:7" x14ac:dyDescent="0.2">
      <c r="A604" s="5">
        <v>46174</v>
      </c>
      <c r="B604" t="s">
        <v>134</v>
      </c>
      <c r="C604" t="s">
        <v>110</v>
      </c>
      <c r="D604" t="s">
        <v>75</v>
      </c>
      <c r="F604" s="6">
        <v>19110</v>
      </c>
      <c r="G604" t="s">
        <v>137</v>
      </c>
    </row>
    <row r="605" spans="1:7" x14ac:dyDescent="0.2">
      <c r="A605" s="5">
        <v>46174</v>
      </c>
      <c r="B605" t="s">
        <v>134</v>
      </c>
      <c r="C605" t="s">
        <v>110</v>
      </c>
      <c r="D605" t="s">
        <v>76</v>
      </c>
      <c r="F605" s="6">
        <v>11466</v>
      </c>
      <c r="G605" t="s">
        <v>137</v>
      </c>
    </row>
    <row r="606" spans="1:7" x14ac:dyDescent="0.2">
      <c r="A606" s="5">
        <v>46174</v>
      </c>
      <c r="B606" t="s">
        <v>134</v>
      </c>
      <c r="C606" t="s">
        <v>110</v>
      </c>
      <c r="D606" t="s">
        <v>79</v>
      </c>
      <c r="F606" s="6">
        <v>7644</v>
      </c>
      <c r="G606" t="s">
        <v>137</v>
      </c>
    </row>
    <row r="607" spans="1:7" x14ac:dyDescent="0.2">
      <c r="A607" s="5">
        <v>46174</v>
      </c>
      <c r="B607" t="s">
        <v>134</v>
      </c>
      <c r="C607" t="s">
        <v>110</v>
      </c>
      <c r="D607" t="s">
        <v>87</v>
      </c>
      <c r="F607" s="6">
        <v>5733</v>
      </c>
      <c r="G607" t="s">
        <v>137</v>
      </c>
    </row>
    <row r="608" spans="1:7" x14ac:dyDescent="0.2">
      <c r="A608" s="5">
        <v>46174</v>
      </c>
      <c r="B608" t="s">
        <v>134</v>
      </c>
      <c r="C608" t="s">
        <v>110</v>
      </c>
      <c r="D608" t="s">
        <v>89</v>
      </c>
      <c r="F608" s="6">
        <v>32487</v>
      </c>
      <c r="G608" t="s">
        <v>137</v>
      </c>
    </row>
    <row r="609" spans="1:7" x14ac:dyDescent="0.2">
      <c r="A609" s="5">
        <v>46174</v>
      </c>
      <c r="B609" t="s">
        <v>134</v>
      </c>
      <c r="C609" t="s">
        <v>110</v>
      </c>
      <c r="D609" t="s">
        <v>91</v>
      </c>
      <c r="F609" s="6">
        <v>3822</v>
      </c>
      <c r="G609" t="s">
        <v>137</v>
      </c>
    </row>
    <row r="610" spans="1:7" x14ac:dyDescent="0.2">
      <c r="A610" s="5">
        <v>46174</v>
      </c>
      <c r="B610" t="s">
        <v>134</v>
      </c>
      <c r="C610" t="s">
        <v>114</v>
      </c>
      <c r="D610" t="s">
        <v>67</v>
      </c>
      <c r="F610" s="6">
        <v>51450</v>
      </c>
      <c r="G610" t="s">
        <v>137</v>
      </c>
    </row>
    <row r="611" spans="1:7" x14ac:dyDescent="0.2">
      <c r="A611" s="5">
        <v>46174</v>
      </c>
      <c r="B611" t="s">
        <v>134</v>
      </c>
      <c r="C611" t="s">
        <v>114</v>
      </c>
      <c r="D611" t="s">
        <v>71</v>
      </c>
      <c r="F611" s="6">
        <v>11319</v>
      </c>
      <c r="G611" t="s">
        <v>137</v>
      </c>
    </row>
    <row r="612" spans="1:7" x14ac:dyDescent="0.2">
      <c r="A612" s="5">
        <v>46174</v>
      </c>
      <c r="B612" t="s">
        <v>134</v>
      </c>
      <c r="C612" t="s">
        <v>114</v>
      </c>
      <c r="D612" t="s">
        <v>75</v>
      </c>
      <c r="F612" s="6">
        <v>5145</v>
      </c>
      <c r="G612" t="s">
        <v>137</v>
      </c>
    </row>
    <row r="613" spans="1:7" x14ac:dyDescent="0.2">
      <c r="A613" s="5">
        <v>46174</v>
      </c>
      <c r="B613" t="s">
        <v>134</v>
      </c>
      <c r="C613" t="s">
        <v>114</v>
      </c>
      <c r="D613" t="s">
        <v>76</v>
      </c>
      <c r="F613" s="6">
        <v>3087</v>
      </c>
      <c r="G613" t="s">
        <v>137</v>
      </c>
    </row>
    <row r="614" spans="1:7" x14ac:dyDescent="0.2">
      <c r="A614" s="5">
        <v>46174</v>
      </c>
      <c r="B614" t="s">
        <v>134</v>
      </c>
      <c r="C614" t="s">
        <v>114</v>
      </c>
      <c r="D614" t="s">
        <v>79</v>
      </c>
      <c r="F614" s="6">
        <v>2058</v>
      </c>
      <c r="G614" t="s">
        <v>137</v>
      </c>
    </row>
    <row r="615" spans="1:7" x14ac:dyDescent="0.2">
      <c r="A615" s="5">
        <v>46174</v>
      </c>
      <c r="B615" t="s">
        <v>134</v>
      </c>
      <c r="C615" t="s">
        <v>114</v>
      </c>
      <c r="D615" t="s">
        <v>87</v>
      </c>
      <c r="F615" s="6">
        <v>1544</v>
      </c>
      <c r="G615" t="s">
        <v>137</v>
      </c>
    </row>
    <row r="616" spans="1:7" x14ac:dyDescent="0.2">
      <c r="A616" s="5">
        <v>46174</v>
      </c>
      <c r="B616" t="s">
        <v>134</v>
      </c>
      <c r="C616" t="s">
        <v>114</v>
      </c>
      <c r="D616" t="s">
        <v>91</v>
      </c>
      <c r="F616" s="6">
        <v>1029</v>
      </c>
      <c r="G616" t="s">
        <v>137</v>
      </c>
    </row>
    <row r="617" spans="1:7" x14ac:dyDescent="0.2">
      <c r="A617" s="5">
        <v>46174</v>
      </c>
      <c r="B617" t="s">
        <v>134</v>
      </c>
      <c r="C617" t="s">
        <v>118</v>
      </c>
      <c r="D617" t="s">
        <v>67</v>
      </c>
      <c r="F617" s="6">
        <v>80850</v>
      </c>
      <c r="G617" t="s">
        <v>137</v>
      </c>
    </row>
    <row r="618" spans="1:7" x14ac:dyDescent="0.2">
      <c r="A618" s="5">
        <v>46174</v>
      </c>
      <c r="B618" t="s">
        <v>134</v>
      </c>
      <c r="C618" t="s">
        <v>118</v>
      </c>
      <c r="D618" t="s">
        <v>71</v>
      </c>
      <c r="F618" s="6">
        <v>17787</v>
      </c>
      <c r="G618" t="s">
        <v>137</v>
      </c>
    </row>
    <row r="619" spans="1:7" x14ac:dyDescent="0.2">
      <c r="A619" s="5">
        <v>46174</v>
      </c>
      <c r="B619" t="s">
        <v>134</v>
      </c>
      <c r="C619" t="s">
        <v>118</v>
      </c>
      <c r="D619" t="s">
        <v>75</v>
      </c>
      <c r="F619" s="6">
        <v>8085</v>
      </c>
      <c r="G619" t="s">
        <v>137</v>
      </c>
    </row>
    <row r="620" spans="1:7" x14ac:dyDescent="0.2">
      <c r="A620" s="5">
        <v>46174</v>
      </c>
      <c r="B620" t="s">
        <v>134</v>
      </c>
      <c r="C620" t="s">
        <v>118</v>
      </c>
      <c r="D620" t="s">
        <v>76</v>
      </c>
      <c r="F620" s="6">
        <v>4851</v>
      </c>
      <c r="G620" t="s">
        <v>137</v>
      </c>
    </row>
    <row r="621" spans="1:7" x14ac:dyDescent="0.2">
      <c r="A621" s="5">
        <v>46174</v>
      </c>
      <c r="B621" t="s">
        <v>134</v>
      </c>
      <c r="C621" t="s">
        <v>118</v>
      </c>
      <c r="D621" t="s">
        <v>79</v>
      </c>
      <c r="F621" s="6">
        <v>3234</v>
      </c>
      <c r="G621" t="s">
        <v>137</v>
      </c>
    </row>
    <row r="622" spans="1:7" x14ac:dyDescent="0.2">
      <c r="A622" s="5">
        <v>46174</v>
      </c>
      <c r="B622" t="s">
        <v>134</v>
      </c>
      <c r="C622" t="s">
        <v>118</v>
      </c>
      <c r="D622" t="s">
        <v>83</v>
      </c>
      <c r="F622" s="6">
        <v>46893</v>
      </c>
      <c r="G622" t="s">
        <v>137</v>
      </c>
    </row>
    <row r="623" spans="1:7" x14ac:dyDescent="0.2">
      <c r="A623" s="5">
        <v>46174</v>
      </c>
      <c r="B623" t="s">
        <v>134</v>
      </c>
      <c r="C623" t="s">
        <v>118</v>
      </c>
      <c r="D623" t="s">
        <v>85</v>
      </c>
      <c r="F623" s="6">
        <v>25872</v>
      </c>
      <c r="G623" t="s">
        <v>137</v>
      </c>
    </row>
    <row r="624" spans="1:7" x14ac:dyDescent="0.2">
      <c r="A624" s="5">
        <v>46174</v>
      </c>
      <c r="B624" t="s">
        <v>134</v>
      </c>
      <c r="C624" t="s">
        <v>118</v>
      </c>
      <c r="D624" t="s">
        <v>87</v>
      </c>
      <c r="F624" s="6">
        <v>2426</v>
      </c>
      <c r="G624" t="s">
        <v>137</v>
      </c>
    </row>
    <row r="625" spans="1:7" x14ac:dyDescent="0.2">
      <c r="A625" s="5">
        <v>46174</v>
      </c>
      <c r="B625" t="s">
        <v>134</v>
      </c>
      <c r="C625" t="s">
        <v>118</v>
      </c>
      <c r="D625" t="s">
        <v>91</v>
      </c>
      <c r="F625" s="6">
        <v>1617</v>
      </c>
      <c r="G625" t="s">
        <v>137</v>
      </c>
    </row>
    <row r="626" spans="1:7" x14ac:dyDescent="0.2">
      <c r="A626" s="5">
        <v>46204</v>
      </c>
      <c r="B626" t="s">
        <v>129</v>
      </c>
      <c r="C626" t="s">
        <v>122</v>
      </c>
      <c r="D626" t="s">
        <v>54</v>
      </c>
      <c r="E626" t="s">
        <v>130</v>
      </c>
      <c r="F626" s="6">
        <v>1903214</v>
      </c>
      <c r="G626" t="s">
        <v>137</v>
      </c>
    </row>
    <row r="627" spans="1:7" x14ac:dyDescent="0.2">
      <c r="A627" s="5">
        <v>46204</v>
      </c>
      <c r="B627" t="s">
        <v>129</v>
      </c>
      <c r="C627" t="s">
        <v>122</v>
      </c>
      <c r="D627" t="s">
        <v>54</v>
      </c>
      <c r="E627" t="s">
        <v>132</v>
      </c>
      <c r="F627" s="6">
        <v>1024808</v>
      </c>
      <c r="G627" t="s">
        <v>137</v>
      </c>
    </row>
    <row r="628" spans="1:7" x14ac:dyDescent="0.2">
      <c r="A628" s="5">
        <v>46204</v>
      </c>
      <c r="B628" t="s">
        <v>129</v>
      </c>
      <c r="C628" t="s">
        <v>122</v>
      </c>
      <c r="D628" t="s">
        <v>58</v>
      </c>
      <c r="E628" t="s">
        <v>133</v>
      </c>
      <c r="F628" s="6">
        <v>292802</v>
      </c>
      <c r="G628" t="s">
        <v>137</v>
      </c>
    </row>
    <row r="629" spans="1:7" x14ac:dyDescent="0.2">
      <c r="A629" s="5">
        <v>46204</v>
      </c>
      <c r="B629" t="s">
        <v>129</v>
      </c>
      <c r="C629" t="s">
        <v>97</v>
      </c>
      <c r="D629" t="s">
        <v>67</v>
      </c>
      <c r="F629" s="6">
        <v>349800</v>
      </c>
      <c r="G629" t="s">
        <v>137</v>
      </c>
    </row>
    <row r="630" spans="1:7" x14ac:dyDescent="0.2">
      <c r="A630" s="5">
        <v>46204</v>
      </c>
      <c r="B630" t="s">
        <v>129</v>
      </c>
      <c r="C630" t="s">
        <v>97</v>
      </c>
      <c r="D630" t="s">
        <v>71</v>
      </c>
      <c r="F630" s="6">
        <v>76956</v>
      </c>
      <c r="G630" t="s">
        <v>137</v>
      </c>
    </row>
    <row r="631" spans="1:7" x14ac:dyDescent="0.2">
      <c r="A631" s="5">
        <v>46204</v>
      </c>
      <c r="B631" t="s">
        <v>129</v>
      </c>
      <c r="C631" t="s">
        <v>97</v>
      </c>
      <c r="D631" t="s">
        <v>73</v>
      </c>
      <c r="F631" s="6">
        <v>122430</v>
      </c>
      <c r="G631" t="s">
        <v>137</v>
      </c>
    </row>
    <row r="632" spans="1:7" x14ac:dyDescent="0.2">
      <c r="A632" s="5">
        <v>46204</v>
      </c>
      <c r="B632" t="s">
        <v>129</v>
      </c>
      <c r="C632" t="s">
        <v>97</v>
      </c>
      <c r="D632" t="s">
        <v>75</v>
      </c>
      <c r="F632" s="6">
        <v>34980</v>
      </c>
      <c r="G632" t="s">
        <v>137</v>
      </c>
    </row>
    <row r="633" spans="1:7" x14ac:dyDescent="0.2">
      <c r="A633" s="5">
        <v>46204</v>
      </c>
      <c r="B633" t="s">
        <v>129</v>
      </c>
      <c r="C633" t="s">
        <v>97</v>
      </c>
      <c r="D633" t="s">
        <v>76</v>
      </c>
      <c r="F633" s="6">
        <v>20988</v>
      </c>
      <c r="G633" t="s">
        <v>137</v>
      </c>
    </row>
    <row r="634" spans="1:7" x14ac:dyDescent="0.2">
      <c r="A634" s="5">
        <v>46204</v>
      </c>
      <c r="B634" t="s">
        <v>129</v>
      </c>
      <c r="C634" t="s">
        <v>97</v>
      </c>
      <c r="D634" t="s">
        <v>79</v>
      </c>
      <c r="F634" s="6">
        <v>27984</v>
      </c>
      <c r="G634" t="s">
        <v>137</v>
      </c>
    </row>
    <row r="635" spans="1:7" x14ac:dyDescent="0.2">
      <c r="A635" s="5">
        <v>46204</v>
      </c>
      <c r="B635" t="s">
        <v>129</v>
      </c>
      <c r="C635" t="s">
        <v>97</v>
      </c>
      <c r="D635" t="s">
        <v>87</v>
      </c>
      <c r="F635" s="6">
        <v>10494</v>
      </c>
      <c r="G635" t="s">
        <v>137</v>
      </c>
    </row>
    <row r="636" spans="1:7" x14ac:dyDescent="0.2">
      <c r="A636" s="5">
        <v>46204</v>
      </c>
      <c r="B636" t="s">
        <v>129</v>
      </c>
      <c r="C636" t="s">
        <v>97</v>
      </c>
      <c r="D636" t="s">
        <v>91</v>
      </c>
      <c r="F636" s="6">
        <v>6996</v>
      </c>
      <c r="G636" t="s">
        <v>137</v>
      </c>
    </row>
    <row r="637" spans="1:7" x14ac:dyDescent="0.2">
      <c r="A637" s="5">
        <v>46204</v>
      </c>
      <c r="B637" t="s">
        <v>129</v>
      </c>
      <c r="C637" t="s">
        <v>102</v>
      </c>
      <c r="D637" t="s">
        <v>67</v>
      </c>
      <c r="F637" s="6">
        <v>159000</v>
      </c>
      <c r="G637" t="s">
        <v>137</v>
      </c>
    </row>
    <row r="638" spans="1:7" x14ac:dyDescent="0.2">
      <c r="A638" s="5">
        <v>46204</v>
      </c>
      <c r="B638" t="s">
        <v>129</v>
      </c>
      <c r="C638" t="s">
        <v>102</v>
      </c>
      <c r="D638" t="s">
        <v>71</v>
      </c>
      <c r="F638" s="6">
        <v>34980</v>
      </c>
      <c r="G638" t="s">
        <v>137</v>
      </c>
    </row>
    <row r="639" spans="1:7" x14ac:dyDescent="0.2">
      <c r="A639" s="5">
        <v>46204</v>
      </c>
      <c r="B639" t="s">
        <v>129</v>
      </c>
      <c r="C639" t="s">
        <v>102</v>
      </c>
      <c r="D639" t="s">
        <v>75</v>
      </c>
      <c r="F639" s="6">
        <v>15900</v>
      </c>
      <c r="G639" t="s">
        <v>137</v>
      </c>
    </row>
    <row r="640" spans="1:7" x14ac:dyDescent="0.2">
      <c r="A640" s="5">
        <v>46204</v>
      </c>
      <c r="B640" t="s">
        <v>129</v>
      </c>
      <c r="C640" t="s">
        <v>102</v>
      </c>
      <c r="D640" t="s">
        <v>76</v>
      </c>
      <c r="F640" s="6">
        <v>9540</v>
      </c>
      <c r="G640" t="s">
        <v>137</v>
      </c>
    </row>
    <row r="641" spans="1:7" x14ac:dyDescent="0.2">
      <c r="A641" s="5">
        <v>46204</v>
      </c>
      <c r="B641" t="s">
        <v>129</v>
      </c>
      <c r="C641" t="s">
        <v>102</v>
      </c>
      <c r="D641" t="s">
        <v>79</v>
      </c>
      <c r="F641" s="6">
        <v>12720</v>
      </c>
      <c r="G641" t="s">
        <v>137</v>
      </c>
    </row>
    <row r="642" spans="1:7" x14ac:dyDescent="0.2">
      <c r="A642" s="5">
        <v>46204</v>
      </c>
      <c r="B642" t="s">
        <v>129</v>
      </c>
      <c r="C642" t="s">
        <v>102</v>
      </c>
      <c r="D642" t="s">
        <v>81</v>
      </c>
      <c r="F642" s="6">
        <v>214650</v>
      </c>
      <c r="G642" t="s">
        <v>137</v>
      </c>
    </row>
    <row r="643" spans="1:7" x14ac:dyDescent="0.2">
      <c r="A643" s="5">
        <v>46204</v>
      </c>
      <c r="B643" t="s">
        <v>129</v>
      </c>
      <c r="C643" t="s">
        <v>102</v>
      </c>
      <c r="D643" t="s">
        <v>87</v>
      </c>
      <c r="F643" s="6">
        <v>4770</v>
      </c>
      <c r="G643" t="s">
        <v>137</v>
      </c>
    </row>
    <row r="644" spans="1:7" x14ac:dyDescent="0.2">
      <c r="A644" s="5">
        <v>46204</v>
      </c>
      <c r="B644" t="s">
        <v>129</v>
      </c>
      <c r="C644" t="s">
        <v>102</v>
      </c>
      <c r="D644" t="s">
        <v>91</v>
      </c>
      <c r="F644" s="6">
        <v>3180</v>
      </c>
      <c r="G644" t="s">
        <v>137</v>
      </c>
    </row>
    <row r="645" spans="1:7" x14ac:dyDescent="0.2">
      <c r="A645" s="5">
        <v>46204</v>
      </c>
      <c r="B645" t="s">
        <v>129</v>
      </c>
      <c r="C645" t="s">
        <v>106</v>
      </c>
      <c r="D645" t="s">
        <v>65</v>
      </c>
      <c r="F645" s="6">
        <v>72080</v>
      </c>
      <c r="G645" t="s">
        <v>137</v>
      </c>
    </row>
    <row r="646" spans="1:7" x14ac:dyDescent="0.2">
      <c r="A646" s="5">
        <v>46204</v>
      </c>
      <c r="B646" t="s">
        <v>129</v>
      </c>
      <c r="C646" t="s">
        <v>106</v>
      </c>
      <c r="D646" t="s">
        <v>67</v>
      </c>
      <c r="F646" s="6">
        <v>180200</v>
      </c>
      <c r="G646" t="s">
        <v>137</v>
      </c>
    </row>
    <row r="647" spans="1:7" x14ac:dyDescent="0.2">
      <c r="A647" s="5">
        <v>46204</v>
      </c>
      <c r="B647" t="s">
        <v>129</v>
      </c>
      <c r="C647" t="s">
        <v>106</v>
      </c>
      <c r="D647" t="s">
        <v>71</v>
      </c>
      <c r="F647" s="6">
        <v>39644</v>
      </c>
      <c r="G647" t="s">
        <v>137</v>
      </c>
    </row>
    <row r="648" spans="1:7" x14ac:dyDescent="0.2">
      <c r="A648" s="5">
        <v>46204</v>
      </c>
      <c r="B648" t="s">
        <v>129</v>
      </c>
      <c r="C648" t="s">
        <v>106</v>
      </c>
      <c r="D648" t="s">
        <v>75</v>
      </c>
      <c r="F648" s="6">
        <v>18020</v>
      </c>
      <c r="G648" t="s">
        <v>137</v>
      </c>
    </row>
    <row r="649" spans="1:7" x14ac:dyDescent="0.2">
      <c r="A649" s="5">
        <v>46204</v>
      </c>
      <c r="B649" t="s">
        <v>129</v>
      </c>
      <c r="C649" t="s">
        <v>106</v>
      </c>
      <c r="D649" t="s">
        <v>76</v>
      </c>
      <c r="F649" s="6">
        <v>10812</v>
      </c>
      <c r="G649" t="s">
        <v>137</v>
      </c>
    </row>
    <row r="650" spans="1:7" x14ac:dyDescent="0.2">
      <c r="A650" s="5">
        <v>46204</v>
      </c>
      <c r="B650" t="s">
        <v>129</v>
      </c>
      <c r="C650" t="s">
        <v>106</v>
      </c>
      <c r="D650" t="s">
        <v>79</v>
      </c>
      <c r="F650" s="6">
        <v>7208</v>
      </c>
      <c r="G650" t="s">
        <v>137</v>
      </c>
    </row>
    <row r="651" spans="1:7" x14ac:dyDescent="0.2">
      <c r="A651" s="5">
        <v>46204</v>
      </c>
      <c r="B651" t="s">
        <v>129</v>
      </c>
      <c r="C651" t="s">
        <v>106</v>
      </c>
      <c r="D651" t="s">
        <v>87</v>
      </c>
      <c r="F651" s="6">
        <v>5406</v>
      </c>
      <c r="G651" t="s">
        <v>137</v>
      </c>
    </row>
    <row r="652" spans="1:7" x14ac:dyDescent="0.2">
      <c r="A652" s="5">
        <v>46204</v>
      </c>
      <c r="B652" t="s">
        <v>129</v>
      </c>
      <c r="C652" t="s">
        <v>106</v>
      </c>
      <c r="D652" t="s">
        <v>91</v>
      </c>
      <c r="F652" s="6">
        <v>3604</v>
      </c>
      <c r="G652" t="s">
        <v>137</v>
      </c>
    </row>
    <row r="653" spans="1:7" x14ac:dyDescent="0.2">
      <c r="A653" s="5">
        <v>46204</v>
      </c>
      <c r="B653" t="s">
        <v>129</v>
      </c>
      <c r="C653" t="s">
        <v>110</v>
      </c>
      <c r="D653" t="s">
        <v>61</v>
      </c>
      <c r="F653" s="6">
        <v>551200</v>
      </c>
      <c r="G653" t="s">
        <v>137</v>
      </c>
    </row>
    <row r="654" spans="1:7" x14ac:dyDescent="0.2">
      <c r="A654" s="5">
        <v>46204</v>
      </c>
      <c r="B654" t="s">
        <v>129</v>
      </c>
      <c r="C654" t="s">
        <v>110</v>
      </c>
      <c r="D654" t="s">
        <v>67</v>
      </c>
      <c r="F654" s="6">
        <v>551200</v>
      </c>
      <c r="G654" t="s">
        <v>137</v>
      </c>
    </row>
    <row r="655" spans="1:7" x14ac:dyDescent="0.2">
      <c r="A655" s="5">
        <v>46204</v>
      </c>
      <c r="B655" t="s">
        <v>129</v>
      </c>
      <c r="C655" t="s">
        <v>110</v>
      </c>
      <c r="D655" t="s">
        <v>71</v>
      </c>
      <c r="F655" s="6">
        <v>121264</v>
      </c>
      <c r="G655" t="s">
        <v>137</v>
      </c>
    </row>
    <row r="656" spans="1:7" x14ac:dyDescent="0.2">
      <c r="A656" s="5">
        <v>46204</v>
      </c>
      <c r="B656" t="s">
        <v>129</v>
      </c>
      <c r="C656" t="s">
        <v>110</v>
      </c>
      <c r="D656" t="s">
        <v>75</v>
      </c>
      <c r="F656" s="6">
        <v>55120</v>
      </c>
      <c r="G656" t="s">
        <v>137</v>
      </c>
    </row>
    <row r="657" spans="1:7" x14ac:dyDescent="0.2">
      <c r="A657" s="5">
        <v>46204</v>
      </c>
      <c r="B657" t="s">
        <v>129</v>
      </c>
      <c r="C657" t="s">
        <v>110</v>
      </c>
      <c r="D657" t="s">
        <v>76</v>
      </c>
      <c r="F657" s="6">
        <v>33072</v>
      </c>
      <c r="G657" t="s">
        <v>137</v>
      </c>
    </row>
    <row r="658" spans="1:7" x14ac:dyDescent="0.2">
      <c r="A658" s="5">
        <v>46204</v>
      </c>
      <c r="B658" t="s">
        <v>129</v>
      </c>
      <c r="C658" t="s">
        <v>110</v>
      </c>
      <c r="D658" t="s">
        <v>79</v>
      </c>
      <c r="F658" s="6">
        <v>22048</v>
      </c>
      <c r="G658" t="s">
        <v>137</v>
      </c>
    </row>
    <row r="659" spans="1:7" x14ac:dyDescent="0.2">
      <c r="A659" s="5">
        <v>46204</v>
      </c>
      <c r="B659" t="s">
        <v>129</v>
      </c>
      <c r="C659" t="s">
        <v>110</v>
      </c>
      <c r="D659" t="s">
        <v>87</v>
      </c>
      <c r="F659" s="6">
        <v>16536</v>
      </c>
      <c r="G659" t="s">
        <v>137</v>
      </c>
    </row>
    <row r="660" spans="1:7" x14ac:dyDescent="0.2">
      <c r="A660" s="5">
        <v>46204</v>
      </c>
      <c r="B660" t="s">
        <v>129</v>
      </c>
      <c r="C660" t="s">
        <v>110</v>
      </c>
      <c r="D660" t="s">
        <v>89</v>
      </c>
      <c r="F660" s="6">
        <v>93704</v>
      </c>
      <c r="G660" t="s">
        <v>137</v>
      </c>
    </row>
    <row r="661" spans="1:7" x14ac:dyDescent="0.2">
      <c r="A661" s="5">
        <v>46204</v>
      </c>
      <c r="B661" t="s">
        <v>129</v>
      </c>
      <c r="C661" t="s">
        <v>110</v>
      </c>
      <c r="D661" t="s">
        <v>91</v>
      </c>
      <c r="F661" s="6">
        <v>11024</v>
      </c>
      <c r="G661" t="s">
        <v>137</v>
      </c>
    </row>
    <row r="662" spans="1:7" x14ac:dyDescent="0.2">
      <c r="A662" s="5">
        <v>46204</v>
      </c>
      <c r="B662" t="s">
        <v>129</v>
      </c>
      <c r="C662" t="s">
        <v>114</v>
      </c>
      <c r="D662" t="s">
        <v>67</v>
      </c>
      <c r="F662" s="6">
        <v>148400</v>
      </c>
      <c r="G662" t="s">
        <v>137</v>
      </c>
    </row>
    <row r="663" spans="1:7" x14ac:dyDescent="0.2">
      <c r="A663" s="5">
        <v>46204</v>
      </c>
      <c r="B663" t="s">
        <v>129</v>
      </c>
      <c r="C663" t="s">
        <v>114</v>
      </c>
      <c r="D663" t="s">
        <v>71</v>
      </c>
      <c r="F663" s="6">
        <v>32648</v>
      </c>
      <c r="G663" t="s">
        <v>137</v>
      </c>
    </row>
    <row r="664" spans="1:7" x14ac:dyDescent="0.2">
      <c r="A664" s="5">
        <v>46204</v>
      </c>
      <c r="B664" t="s">
        <v>129</v>
      </c>
      <c r="C664" t="s">
        <v>114</v>
      </c>
      <c r="D664" t="s">
        <v>75</v>
      </c>
      <c r="F664" s="6">
        <v>14840</v>
      </c>
      <c r="G664" t="s">
        <v>137</v>
      </c>
    </row>
    <row r="665" spans="1:7" x14ac:dyDescent="0.2">
      <c r="A665" s="5">
        <v>46204</v>
      </c>
      <c r="B665" t="s">
        <v>129</v>
      </c>
      <c r="C665" t="s">
        <v>114</v>
      </c>
      <c r="D665" t="s">
        <v>76</v>
      </c>
      <c r="F665" s="6">
        <v>8904</v>
      </c>
      <c r="G665" t="s">
        <v>137</v>
      </c>
    </row>
    <row r="666" spans="1:7" x14ac:dyDescent="0.2">
      <c r="A666" s="5">
        <v>46204</v>
      </c>
      <c r="B666" t="s">
        <v>129</v>
      </c>
      <c r="C666" t="s">
        <v>114</v>
      </c>
      <c r="D666" t="s">
        <v>79</v>
      </c>
      <c r="F666" s="6">
        <v>5936</v>
      </c>
      <c r="G666" t="s">
        <v>137</v>
      </c>
    </row>
    <row r="667" spans="1:7" x14ac:dyDescent="0.2">
      <c r="A667" s="5">
        <v>46204</v>
      </c>
      <c r="B667" t="s">
        <v>129</v>
      </c>
      <c r="C667" t="s">
        <v>114</v>
      </c>
      <c r="D667" t="s">
        <v>87</v>
      </c>
      <c r="F667" s="6">
        <v>4452</v>
      </c>
      <c r="G667" t="s">
        <v>137</v>
      </c>
    </row>
    <row r="668" spans="1:7" x14ac:dyDescent="0.2">
      <c r="A668" s="5">
        <v>46204</v>
      </c>
      <c r="B668" t="s">
        <v>129</v>
      </c>
      <c r="C668" t="s">
        <v>114</v>
      </c>
      <c r="D668" t="s">
        <v>91</v>
      </c>
      <c r="F668" s="6">
        <v>2968</v>
      </c>
      <c r="G668" t="s">
        <v>137</v>
      </c>
    </row>
    <row r="669" spans="1:7" x14ac:dyDescent="0.2">
      <c r="A669" s="5">
        <v>46204</v>
      </c>
      <c r="B669" t="s">
        <v>129</v>
      </c>
      <c r="C669" t="s">
        <v>118</v>
      </c>
      <c r="D669" t="s">
        <v>67</v>
      </c>
      <c r="F669" s="6">
        <v>233200</v>
      </c>
      <c r="G669" t="s">
        <v>137</v>
      </c>
    </row>
    <row r="670" spans="1:7" x14ac:dyDescent="0.2">
      <c r="A670" s="5">
        <v>46204</v>
      </c>
      <c r="B670" t="s">
        <v>129</v>
      </c>
      <c r="C670" t="s">
        <v>118</v>
      </c>
      <c r="D670" t="s">
        <v>71</v>
      </c>
      <c r="F670" s="6">
        <v>51304</v>
      </c>
      <c r="G670" t="s">
        <v>137</v>
      </c>
    </row>
    <row r="671" spans="1:7" x14ac:dyDescent="0.2">
      <c r="A671" s="5">
        <v>46204</v>
      </c>
      <c r="B671" t="s">
        <v>129</v>
      </c>
      <c r="C671" t="s">
        <v>118</v>
      </c>
      <c r="D671" t="s">
        <v>75</v>
      </c>
      <c r="F671" s="6">
        <v>23320</v>
      </c>
      <c r="G671" t="s">
        <v>137</v>
      </c>
    </row>
    <row r="672" spans="1:7" x14ac:dyDescent="0.2">
      <c r="A672" s="5">
        <v>46204</v>
      </c>
      <c r="B672" t="s">
        <v>129</v>
      </c>
      <c r="C672" t="s">
        <v>118</v>
      </c>
      <c r="D672" t="s">
        <v>76</v>
      </c>
      <c r="F672" s="6">
        <v>13992</v>
      </c>
      <c r="G672" t="s">
        <v>137</v>
      </c>
    </row>
    <row r="673" spans="1:7" x14ac:dyDescent="0.2">
      <c r="A673" s="5">
        <v>46204</v>
      </c>
      <c r="B673" t="s">
        <v>129</v>
      </c>
      <c r="C673" t="s">
        <v>118</v>
      </c>
      <c r="D673" t="s">
        <v>79</v>
      </c>
      <c r="F673" s="6">
        <v>9328</v>
      </c>
      <c r="G673" t="s">
        <v>137</v>
      </c>
    </row>
    <row r="674" spans="1:7" x14ac:dyDescent="0.2">
      <c r="A674" s="5">
        <v>46204</v>
      </c>
      <c r="B674" t="s">
        <v>129</v>
      </c>
      <c r="C674" t="s">
        <v>118</v>
      </c>
      <c r="D674" t="s">
        <v>83</v>
      </c>
      <c r="F674" s="6">
        <v>135256</v>
      </c>
      <c r="G674" t="s">
        <v>137</v>
      </c>
    </row>
    <row r="675" spans="1:7" x14ac:dyDescent="0.2">
      <c r="A675" s="5">
        <v>46204</v>
      </c>
      <c r="B675" t="s">
        <v>129</v>
      </c>
      <c r="C675" t="s">
        <v>118</v>
      </c>
      <c r="D675" t="s">
        <v>85</v>
      </c>
      <c r="F675" s="6">
        <v>74624</v>
      </c>
      <c r="G675" t="s">
        <v>137</v>
      </c>
    </row>
    <row r="676" spans="1:7" x14ac:dyDescent="0.2">
      <c r="A676" s="5">
        <v>46204</v>
      </c>
      <c r="B676" t="s">
        <v>129</v>
      </c>
      <c r="C676" t="s">
        <v>118</v>
      </c>
      <c r="D676" t="s">
        <v>87</v>
      </c>
      <c r="F676" s="6">
        <v>6996</v>
      </c>
      <c r="G676" t="s">
        <v>137</v>
      </c>
    </row>
    <row r="677" spans="1:7" x14ac:dyDescent="0.2">
      <c r="A677" s="5">
        <v>46204</v>
      </c>
      <c r="B677" t="s">
        <v>129</v>
      </c>
      <c r="C677" t="s">
        <v>118</v>
      </c>
      <c r="D677" t="s">
        <v>91</v>
      </c>
      <c r="F677" s="6">
        <v>4664</v>
      </c>
      <c r="G677" t="s">
        <v>137</v>
      </c>
    </row>
    <row r="678" spans="1:7" x14ac:dyDescent="0.2">
      <c r="A678" s="5">
        <v>46204</v>
      </c>
      <c r="B678" t="s">
        <v>134</v>
      </c>
      <c r="C678" t="s">
        <v>122</v>
      </c>
      <c r="D678" t="s">
        <v>54</v>
      </c>
      <c r="E678" t="s">
        <v>130</v>
      </c>
      <c r="F678" s="6">
        <v>666125</v>
      </c>
      <c r="G678" t="s">
        <v>137</v>
      </c>
    </row>
    <row r="679" spans="1:7" x14ac:dyDescent="0.2">
      <c r="A679" s="5">
        <v>46204</v>
      </c>
      <c r="B679" t="s">
        <v>134</v>
      </c>
      <c r="C679" t="s">
        <v>122</v>
      </c>
      <c r="D679" t="s">
        <v>54</v>
      </c>
      <c r="E679" t="s">
        <v>132</v>
      </c>
      <c r="F679" s="6">
        <v>358683</v>
      </c>
      <c r="G679" t="s">
        <v>137</v>
      </c>
    </row>
    <row r="680" spans="1:7" x14ac:dyDescent="0.2">
      <c r="A680" s="5">
        <v>46204</v>
      </c>
      <c r="B680" t="s">
        <v>134</v>
      </c>
      <c r="C680" t="s">
        <v>122</v>
      </c>
      <c r="D680" t="s">
        <v>58</v>
      </c>
      <c r="E680" t="s">
        <v>133</v>
      </c>
      <c r="F680" s="6">
        <v>102481</v>
      </c>
      <c r="G680" t="s">
        <v>137</v>
      </c>
    </row>
    <row r="681" spans="1:7" x14ac:dyDescent="0.2">
      <c r="A681" s="5">
        <v>46204</v>
      </c>
      <c r="B681" t="s">
        <v>134</v>
      </c>
      <c r="C681" t="s">
        <v>97</v>
      </c>
      <c r="D681" t="s">
        <v>67</v>
      </c>
      <c r="F681" s="6">
        <v>122430</v>
      </c>
      <c r="G681" t="s">
        <v>137</v>
      </c>
    </row>
    <row r="682" spans="1:7" x14ac:dyDescent="0.2">
      <c r="A682" s="5">
        <v>46204</v>
      </c>
      <c r="B682" t="s">
        <v>134</v>
      </c>
      <c r="C682" t="s">
        <v>97</v>
      </c>
      <c r="D682" t="s">
        <v>71</v>
      </c>
      <c r="F682" s="6">
        <v>26935</v>
      </c>
      <c r="G682" t="s">
        <v>137</v>
      </c>
    </row>
    <row r="683" spans="1:7" x14ac:dyDescent="0.2">
      <c r="A683" s="5">
        <v>46204</v>
      </c>
      <c r="B683" t="s">
        <v>134</v>
      </c>
      <c r="C683" t="s">
        <v>97</v>
      </c>
      <c r="D683" t="s">
        <v>73</v>
      </c>
      <c r="F683" s="6">
        <v>42850</v>
      </c>
      <c r="G683" t="s">
        <v>137</v>
      </c>
    </row>
    <row r="684" spans="1:7" x14ac:dyDescent="0.2">
      <c r="A684" s="5">
        <v>46204</v>
      </c>
      <c r="B684" t="s">
        <v>134</v>
      </c>
      <c r="C684" t="s">
        <v>97</v>
      </c>
      <c r="D684" t="s">
        <v>75</v>
      </c>
      <c r="F684" s="6">
        <v>12243</v>
      </c>
      <c r="G684" t="s">
        <v>137</v>
      </c>
    </row>
    <row r="685" spans="1:7" x14ac:dyDescent="0.2">
      <c r="A685" s="5">
        <v>46204</v>
      </c>
      <c r="B685" t="s">
        <v>134</v>
      </c>
      <c r="C685" t="s">
        <v>97</v>
      </c>
      <c r="D685" t="s">
        <v>76</v>
      </c>
      <c r="F685" s="6">
        <v>7346</v>
      </c>
      <c r="G685" t="s">
        <v>137</v>
      </c>
    </row>
    <row r="686" spans="1:7" x14ac:dyDescent="0.2">
      <c r="A686" s="5">
        <v>46204</v>
      </c>
      <c r="B686" t="s">
        <v>134</v>
      </c>
      <c r="C686" t="s">
        <v>97</v>
      </c>
      <c r="D686" t="s">
        <v>79</v>
      </c>
      <c r="F686" s="6">
        <v>9794</v>
      </c>
      <c r="G686" t="s">
        <v>137</v>
      </c>
    </row>
    <row r="687" spans="1:7" x14ac:dyDescent="0.2">
      <c r="A687" s="5">
        <v>46204</v>
      </c>
      <c r="B687" t="s">
        <v>134</v>
      </c>
      <c r="C687" t="s">
        <v>97</v>
      </c>
      <c r="D687" t="s">
        <v>87</v>
      </c>
      <c r="F687" s="6">
        <v>3673</v>
      </c>
      <c r="G687" t="s">
        <v>137</v>
      </c>
    </row>
    <row r="688" spans="1:7" x14ac:dyDescent="0.2">
      <c r="A688" s="5">
        <v>46204</v>
      </c>
      <c r="B688" t="s">
        <v>134</v>
      </c>
      <c r="C688" t="s">
        <v>97</v>
      </c>
      <c r="D688" t="s">
        <v>91</v>
      </c>
      <c r="F688" s="6">
        <v>2449</v>
      </c>
      <c r="G688" t="s">
        <v>137</v>
      </c>
    </row>
    <row r="689" spans="1:7" x14ac:dyDescent="0.2">
      <c r="A689" s="5">
        <v>46204</v>
      </c>
      <c r="B689" t="s">
        <v>134</v>
      </c>
      <c r="C689" t="s">
        <v>102</v>
      </c>
      <c r="D689" t="s">
        <v>67</v>
      </c>
      <c r="F689" s="6">
        <v>55650</v>
      </c>
      <c r="G689" t="s">
        <v>137</v>
      </c>
    </row>
    <row r="690" spans="1:7" x14ac:dyDescent="0.2">
      <c r="A690" s="5">
        <v>46204</v>
      </c>
      <c r="B690" t="s">
        <v>134</v>
      </c>
      <c r="C690" t="s">
        <v>102</v>
      </c>
      <c r="D690" t="s">
        <v>71</v>
      </c>
      <c r="F690" s="6">
        <v>12243</v>
      </c>
      <c r="G690" t="s">
        <v>137</v>
      </c>
    </row>
    <row r="691" spans="1:7" x14ac:dyDescent="0.2">
      <c r="A691" s="5">
        <v>46204</v>
      </c>
      <c r="B691" t="s">
        <v>134</v>
      </c>
      <c r="C691" t="s">
        <v>102</v>
      </c>
      <c r="D691" t="s">
        <v>75</v>
      </c>
      <c r="F691" s="6">
        <v>5565</v>
      </c>
      <c r="G691" t="s">
        <v>137</v>
      </c>
    </row>
    <row r="692" spans="1:7" x14ac:dyDescent="0.2">
      <c r="A692" s="5">
        <v>46204</v>
      </c>
      <c r="B692" t="s">
        <v>134</v>
      </c>
      <c r="C692" t="s">
        <v>102</v>
      </c>
      <c r="D692" t="s">
        <v>76</v>
      </c>
      <c r="F692" s="6">
        <v>3339</v>
      </c>
      <c r="G692" t="s">
        <v>137</v>
      </c>
    </row>
    <row r="693" spans="1:7" x14ac:dyDescent="0.2">
      <c r="A693" s="5">
        <v>46204</v>
      </c>
      <c r="B693" t="s">
        <v>134</v>
      </c>
      <c r="C693" t="s">
        <v>102</v>
      </c>
      <c r="D693" t="s">
        <v>79</v>
      </c>
      <c r="F693" s="6">
        <v>4452</v>
      </c>
      <c r="G693" t="s">
        <v>137</v>
      </c>
    </row>
    <row r="694" spans="1:7" x14ac:dyDescent="0.2">
      <c r="A694" s="5">
        <v>46204</v>
      </c>
      <c r="B694" t="s">
        <v>134</v>
      </c>
      <c r="C694" t="s">
        <v>102</v>
      </c>
      <c r="D694" t="s">
        <v>81</v>
      </c>
      <c r="F694" s="6">
        <v>75128</v>
      </c>
      <c r="G694" t="s">
        <v>137</v>
      </c>
    </row>
    <row r="695" spans="1:7" x14ac:dyDescent="0.2">
      <c r="A695" s="5">
        <v>46204</v>
      </c>
      <c r="B695" t="s">
        <v>134</v>
      </c>
      <c r="C695" t="s">
        <v>102</v>
      </c>
      <c r="D695" t="s">
        <v>87</v>
      </c>
      <c r="F695" s="6">
        <v>1670</v>
      </c>
      <c r="G695" t="s">
        <v>137</v>
      </c>
    </row>
    <row r="696" spans="1:7" x14ac:dyDescent="0.2">
      <c r="A696" s="5">
        <v>46204</v>
      </c>
      <c r="B696" t="s">
        <v>134</v>
      </c>
      <c r="C696" t="s">
        <v>102</v>
      </c>
      <c r="D696" t="s">
        <v>91</v>
      </c>
      <c r="F696" s="6">
        <v>1113</v>
      </c>
      <c r="G696" t="s">
        <v>137</v>
      </c>
    </row>
    <row r="697" spans="1:7" x14ac:dyDescent="0.2">
      <c r="A697" s="5">
        <v>46204</v>
      </c>
      <c r="B697" t="s">
        <v>134</v>
      </c>
      <c r="C697" t="s">
        <v>106</v>
      </c>
      <c r="D697" t="s">
        <v>65</v>
      </c>
      <c r="F697" s="6">
        <v>25228</v>
      </c>
      <c r="G697" t="s">
        <v>137</v>
      </c>
    </row>
    <row r="698" spans="1:7" x14ac:dyDescent="0.2">
      <c r="A698" s="5">
        <v>46204</v>
      </c>
      <c r="B698" t="s">
        <v>134</v>
      </c>
      <c r="C698" t="s">
        <v>106</v>
      </c>
      <c r="D698" t="s">
        <v>67</v>
      </c>
      <c r="F698" s="6">
        <v>63070</v>
      </c>
      <c r="G698" t="s">
        <v>137</v>
      </c>
    </row>
    <row r="699" spans="1:7" x14ac:dyDescent="0.2">
      <c r="A699" s="5">
        <v>46204</v>
      </c>
      <c r="B699" t="s">
        <v>134</v>
      </c>
      <c r="C699" t="s">
        <v>106</v>
      </c>
      <c r="D699" t="s">
        <v>71</v>
      </c>
      <c r="F699" s="6">
        <v>13875</v>
      </c>
      <c r="G699" t="s">
        <v>137</v>
      </c>
    </row>
    <row r="700" spans="1:7" x14ac:dyDescent="0.2">
      <c r="A700" s="5">
        <v>46204</v>
      </c>
      <c r="B700" t="s">
        <v>134</v>
      </c>
      <c r="C700" t="s">
        <v>106</v>
      </c>
      <c r="D700" t="s">
        <v>75</v>
      </c>
      <c r="F700" s="6">
        <v>6307</v>
      </c>
      <c r="G700" t="s">
        <v>137</v>
      </c>
    </row>
    <row r="701" spans="1:7" x14ac:dyDescent="0.2">
      <c r="A701" s="5">
        <v>46204</v>
      </c>
      <c r="B701" t="s">
        <v>134</v>
      </c>
      <c r="C701" t="s">
        <v>106</v>
      </c>
      <c r="D701" t="s">
        <v>76</v>
      </c>
      <c r="F701" s="6">
        <v>3784</v>
      </c>
      <c r="G701" t="s">
        <v>137</v>
      </c>
    </row>
    <row r="702" spans="1:7" x14ac:dyDescent="0.2">
      <c r="A702" s="5">
        <v>46204</v>
      </c>
      <c r="B702" t="s">
        <v>134</v>
      </c>
      <c r="C702" t="s">
        <v>106</v>
      </c>
      <c r="D702" t="s">
        <v>79</v>
      </c>
      <c r="F702" s="6">
        <v>2523</v>
      </c>
      <c r="G702" t="s">
        <v>137</v>
      </c>
    </row>
    <row r="703" spans="1:7" x14ac:dyDescent="0.2">
      <c r="A703" s="5">
        <v>46204</v>
      </c>
      <c r="B703" t="s">
        <v>134</v>
      </c>
      <c r="C703" t="s">
        <v>106</v>
      </c>
      <c r="D703" t="s">
        <v>87</v>
      </c>
      <c r="F703" s="6">
        <v>1892</v>
      </c>
      <c r="G703" t="s">
        <v>137</v>
      </c>
    </row>
    <row r="704" spans="1:7" x14ac:dyDescent="0.2">
      <c r="A704" s="5">
        <v>46204</v>
      </c>
      <c r="B704" t="s">
        <v>134</v>
      </c>
      <c r="C704" t="s">
        <v>106</v>
      </c>
      <c r="D704" t="s">
        <v>91</v>
      </c>
      <c r="F704" s="6">
        <v>1261</v>
      </c>
      <c r="G704" t="s">
        <v>137</v>
      </c>
    </row>
    <row r="705" spans="1:7" x14ac:dyDescent="0.2">
      <c r="A705" s="5">
        <v>46204</v>
      </c>
      <c r="B705" t="s">
        <v>134</v>
      </c>
      <c r="C705" t="s">
        <v>110</v>
      </c>
      <c r="D705" t="s">
        <v>61</v>
      </c>
      <c r="F705" s="6">
        <v>192920</v>
      </c>
      <c r="G705" t="s">
        <v>137</v>
      </c>
    </row>
    <row r="706" spans="1:7" x14ac:dyDescent="0.2">
      <c r="A706" s="5">
        <v>46204</v>
      </c>
      <c r="B706" t="s">
        <v>134</v>
      </c>
      <c r="C706" t="s">
        <v>110</v>
      </c>
      <c r="D706" t="s">
        <v>67</v>
      </c>
      <c r="F706" s="6">
        <v>192920</v>
      </c>
      <c r="G706" t="s">
        <v>137</v>
      </c>
    </row>
    <row r="707" spans="1:7" x14ac:dyDescent="0.2">
      <c r="A707" s="5">
        <v>46204</v>
      </c>
      <c r="B707" t="s">
        <v>134</v>
      </c>
      <c r="C707" t="s">
        <v>110</v>
      </c>
      <c r="D707" t="s">
        <v>71</v>
      </c>
      <c r="F707" s="6">
        <v>42442</v>
      </c>
      <c r="G707" t="s">
        <v>137</v>
      </c>
    </row>
    <row r="708" spans="1:7" x14ac:dyDescent="0.2">
      <c r="A708" s="5">
        <v>46204</v>
      </c>
      <c r="B708" t="s">
        <v>134</v>
      </c>
      <c r="C708" t="s">
        <v>110</v>
      </c>
      <c r="D708" t="s">
        <v>75</v>
      </c>
      <c r="F708" s="6">
        <v>19292</v>
      </c>
      <c r="G708" t="s">
        <v>137</v>
      </c>
    </row>
    <row r="709" spans="1:7" x14ac:dyDescent="0.2">
      <c r="A709" s="5">
        <v>46204</v>
      </c>
      <c r="B709" t="s">
        <v>134</v>
      </c>
      <c r="C709" t="s">
        <v>110</v>
      </c>
      <c r="D709" t="s">
        <v>76</v>
      </c>
      <c r="F709" s="6">
        <v>11575</v>
      </c>
      <c r="G709" t="s">
        <v>137</v>
      </c>
    </row>
    <row r="710" spans="1:7" x14ac:dyDescent="0.2">
      <c r="A710" s="5">
        <v>46204</v>
      </c>
      <c r="B710" t="s">
        <v>134</v>
      </c>
      <c r="C710" t="s">
        <v>110</v>
      </c>
      <c r="D710" t="s">
        <v>79</v>
      </c>
      <c r="F710" s="6">
        <v>7717</v>
      </c>
      <c r="G710" t="s">
        <v>137</v>
      </c>
    </row>
    <row r="711" spans="1:7" x14ac:dyDescent="0.2">
      <c r="A711" s="5">
        <v>46204</v>
      </c>
      <c r="B711" t="s">
        <v>134</v>
      </c>
      <c r="C711" t="s">
        <v>110</v>
      </c>
      <c r="D711" t="s">
        <v>87</v>
      </c>
      <c r="F711" s="6">
        <v>5788</v>
      </c>
      <c r="G711" t="s">
        <v>137</v>
      </c>
    </row>
    <row r="712" spans="1:7" x14ac:dyDescent="0.2">
      <c r="A712" s="5">
        <v>46204</v>
      </c>
      <c r="B712" t="s">
        <v>134</v>
      </c>
      <c r="C712" t="s">
        <v>110</v>
      </c>
      <c r="D712" t="s">
        <v>89</v>
      </c>
      <c r="F712" s="6">
        <v>32796</v>
      </c>
      <c r="G712" t="s">
        <v>137</v>
      </c>
    </row>
    <row r="713" spans="1:7" x14ac:dyDescent="0.2">
      <c r="A713" s="5">
        <v>46204</v>
      </c>
      <c r="B713" t="s">
        <v>134</v>
      </c>
      <c r="C713" t="s">
        <v>110</v>
      </c>
      <c r="D713" t="s">
        <v>91</v>
      </c>
      <c r="F713" s="6">
        <v>3858</v>
      </c>
      <c r="G713" t="s">
        <v>137</v>
      </c>
    </row>
    <row r="714" spans="1:7" x14ac:dyDescent="0.2">
      <c r="A714" s="5">
        <v>46204</v>
      </c>
      <c r="B714" t="s">
        <v>134</v>
      </c>
      <c r="C714" t="s">
        <v>114</v>
      </c>
      <c r="D714" t="s">
        <v>67</v>
      </c>
      <c r="F714" s="6">
        <v>51940</v>
      </c>
      <c r="G714" t="s">
        <v>137</v>
      </c>
    </row>
    <row r="715" spans="1:7" x14ac:dyDescent="0.2">
      <c r="A715" s="5">
        <v>46204</v>
      </c>
      <c r="B715" t="s">
        <v>134</v>
      </c>
      <c r="C715" t="s">
        <v>114</v>
      </c>
      <c r="D715" t="s">
        <v>71</v>
      </c>
      <c r="F715" s="6">
        <v>11427</v>
      </c>
      <c r="G715" t="s">
        <v>137</v>
      </c>
    </row>
    <row r="716" spans="1:7" x14ac:dyDescent="0.2">
      <c r="A716" s="5">
        <v>46204</v>
      </c>
      <c r="B716" t="s">
        <v>134</v>
      </c>
      <c r="C716" t="s">
        <v>114</v>
      </c>
      <c r="D716" t="s">
        <v>75</v>
      </c>
      <c r="F716" s="6">
        <v>5194</v>
      </c>
      <c r="G716" t="s">
        <v>137</v>
      </c>
    </row>
    <row r="717" spans="1:7" x14ac:dyDescent="0.2">
      <c r="A717" s="5">
        <v>46204</v>
      </c>
      <c r="B717" t="s">
        <v>134</v>
      </c>
      <c r="C717" t="s">
        <v>114</v>
      </c>
      <c r="D717" t="s">
        <v>76</v>
      </c>
      <c r="F717" s="6">
        <v>3116</v>
      </c>
      <c r="G717" t="s">
        <v>137</v>
      </c>
    </row>
    <row r="718" spans="1:7" x14ac:dyDescent="0.2">
      <c r="A718" s="5">
        <v>46204</v>
      </c>
      <c r="B718" t="s">
        <v>134</v>
      </c>
      <c r="C718" t="s">
        <v>114</v>
      </c>
      <c r="D718" t="s">
        <v>79</v>
      </c>
      <c r="F718" s="6">
        <v>2078</v>
      </c>
      <c r="G718" t="s">
        <v>137</v>
      </c>
    </row>
    <row r="719" spans="1:7" x14ac:dyDescent="0.2">
      <c r="A719" s="5">
        <v>46204</v>
      </c>
      <c r="B719" t="s">
        <v>134</v>
      </c>
      <c r="C719" t="s">
        <v>114</v>
      </c>
      <c r="D719" t="s">
        <v>87</v>
      </c>
      <c r="F719" s="6">
        <v>1558</v>
      </c>
      <c r="G719" t="s">
        <v>137</v>
      </c>
    </row>
    <row r="720" spans="1:7" x14ac:dyDescent="0.2">
      <c r="A720" s="5">
        <v>46204</v>
      </c>
      <c r="B720" t="s">
        <v>134</v>
      </c>
      <c r="C720" t="s">
        <v>114</v>
      </c>
      <c r="D720" t="s">
        <v>91</v>
      </c>
      <c r="F720" s="6">
        <v>1039</v>
      </c>
      <c r="G720" t="s">
        <v>137</v>
      </c>
    </row>
    <row r="721" spans="1:7" x14ac:dyDescent="0.2">
      <c r="A721" s="5">
        <v>46204</v>
      </c>
      <c r="B721" t="s">
        <v>134</v>
      </c>
      <c r="C721" t="s">
        <v>118</v>
      </c>
      <c r="D721" t="s">
        <v>67</v>
      </c>
      <c r="F721" s="6">
        <v>81620</v>
      </c>
      <c r="G721" t="s">
        <v>137</v>
      </c>
    </row>
    <row r="722" spans="1:7" x14ac:dyDescent="0.2">
      <c r="A722" s="5">
        <v>46204</v>
      </c>
      <c r="B722" t="s">
        <v>134</v>
      </c>
      <c r="C722" t="s">
        <v>118</v>
      </c>
      <c r="D722" t="s">
        <v>71</v>
      </c>
      <c r="F722" s="6">
        <v>17956</v>
      </c>
      <c r="G722" t="s">
        <v>137</v>
      </c>
    </row>
    <row r="723" spans="1:7" x14ac:dyDescent="0.2">
      <c r="A723" s="5">
        <v>46204</v>
      </c>
      <c r="B723" t="s">
        <v>134</v>
      </c>
      <c r="C723" t="s">
        <v>118</v>
      </c>
      <c r="D723" t="s">
        <v>75</v>
      </c>
      <c r="F723" s="6">
        <v>8162</v>
      </c>
      <c r="G723" t="s">
        <v>137</v>
      </c>
    </row>
    <row r="724" spans="1:7" x14ac:dyDescent="0.2">
      <c r="A724" s="5">
        <v>46204</v>
      </c>
      <c r="B724" t="s">
        <v>134</v>
      </c>
      <c r="C724" t="s">
        <v>118</v>
      </c>
      <c r="D724" t="s">
        <v>76</v>
      </c>
      <c r="F724" s="6">
        <v>4897</v>
      </c>
      <c r="G724" t="s">
        <v>137</v>
      </c>
    </row>
    <row r="725" spans="1:7" x14ac:dyDescent="0.2">
      <c r="A725" s="5">
        <v>46204</v>
      </c>
      <c r="B725" t="s">
        <v>134</v>
      </c>
      <c r="C725" t="s">
        <v>118</v>
      </c>
      <c r="D725" t="s">
        <v>79</v>
      </c>
      <c r="F725" s="6">
        <v>3265</v>
      </c>
      <c r="G725" t="s">
        <v>137</v>
      </c>
    </row>
    <row r="726" spans="1:7" x14ac:dyDescent="0.2">
      <c r="A726" s="5">
        <v>46204</v>
      </c>
      <c r="B726" t="s">
        <v>134</v>
      </c>
      <c r="C726" t="s">
        <v>118</v>
      </c>
      <c r="D726" t="s">
        <v>83</v>
      </c>
      <c r="F726" s="6">
        <v>47340</v>
      </c>
      <c r="G726" t="s">
        <v>137</v>
      </c>
    </row>
    <row r="727" spans="1:7" x14ac:dyDescent="0.2">
      <c r="A727" s="5">
        <v>46204</v>
      </c>
      <c r="B727" t="s">
        <v>134</v>
      </c>
      <c r="C727" t="s">
        <v>118</v>
      </c>
      <c r="D727" t="s">
        <v>85</v>
      </c>
      <c r="F727" s="6">
        <v>26118</v>
      </c>
      <c r="G727" t="s">
        <v>137</v>
      </c>
    </row>
    <row r="728" spans="1:7" x14ac:dyDescent="0.2">
      <c r="A728" s="5">
        <v>46204</v>
      </c>
      <c r="B728" t="s">
        <v>134</v>
      </c>
      <c r="C728" t="s">
        <v>118</v>
      </c>
      <c r="D728" t="s">
        <v>87</v>
      </c>
      <c r="F728" s="6">
        <v>2449</v>
      </c>
      <c r="G728" t="s">
        <v>137</v>
      </c>
    </row>
    <row r="729" spans="1:7" x14ac:dyDescent="0.2">
      <c r="A729" s="5">
        <v>46204</v>
      </c>
      <c r="B729" t="s">
        <v>134</v>
      </c>
      <c r="C729" t="s">
        <v>118</v>
      </c>
      <c r="D729" t="s">
        <v>91</v>
      </c>
      <c r="F729" s="6">
        <v>1632</v>
      </c>
      <c r="G729" t="s">
        <v>137</v>
      </c>
    </row>
    <row r="730" spans="1:7" x14ac:dyDescent="0.2">
      <c r="A730" s="5">
        <v>46235</v>
      </c>
      <c r="B730" t="s">
        <v>129</v>
      </c>
      <c r="C730" t="s">
        <v>122</v>
      </c>
      <c r="D730" t="s">
        <v>54</v>
      </c>
      <c r="E730" t="s">
        <v>130</v>
      </c>
      <c r="F730" s="6">
        <v>1941279</v>
      </c>
      <c r="G730" t="s">
        <v>137</v>
      </c>
    </row>
    <row r="731" spans="1:7" x14ac:dyDescent="0.2">
      <c r="A731" s="5">
        <v>46235</v>
      </c>
      <c r="B731" t="s">
        <v>129</v>
      </c>
      <c r="C731" t="s">
        <v>122</v>
      </c>
      <c r="D731" t="s">
        <v>54</v>
      </c>
      <c r="E731" t="s">
        <v>132</v>
      </c>
      <c r="F731" s="6">
        <v>1045304</v>
      </c>
      <c r="G731" t="s">
        <v>137</v>
      </c>
    </row>
    <row r="732" spans="1:7" x14ac:dyDescent="0.2">
      <c r="A732" s="5">
        <v>46235</v>
      </c>
      <c r="B732" t="s">
        <v>129</v>
      </c>
      <c r="C732" t="s">
        <v>122</v>
      </c>
      <c r="D732" t="s">
        <v>58</v>
      </c>
      <c r="E732" t="s">
        <v>133</v>
      </c>
      <c r="F732" s="6">
        <v>298658</v>
      </c>
      <c r="G732" t="s">
        <v>137</v>
      </c>
    </row>
    <row r="733" spans="1:7" x14ac:dyDescent="0.2">
      <c r="A733" s="5">
        <v>46235</v>
      </c>
      <c r="B733" t="s">
        <v>129</v>
      </c>
      <c r="C733" t="s">
        <v>97</v>
      </c>
      <c r="D733" t="s">
        <v>67</v>
      </c>
      <c r="F733" s="6">
        <v>353100</v>
      </c>
      <c r="G733" t="s">
        <v>137</v>
      </c>
    </row>
    <row r="734" spans="1:7" x14ac:dyDescent="0.2">
      <c r="A734" s="5">
        <v>46235</v>
      </c>
      <c r="B734" t="s">
        <v>129</v>
      </c>
      <c r="C734" t="s">
        <v>97</v>
      </c>
      <c r="D734" t="s">
        <v>71</v>
      </c>
      <c r="F734" s="6">
        <v>77682</v>
      </c>
      <c r="G734" t="s">
        <v>137</v>
      </c>
    </row>
    <row r="735" spans="1:7" x14ac:dyDescent="0.2">
      <c r="A735" s="5">
        <v>46235</v>
      </c>
      <c r="B735" t="s">
        <v>129</v>
      </c>
      <c r="C735" t="s">
        <v>97</v>
      </c>
      <c r="D735" t="s">
        <v>73</v>
      </c>
      <c r="F735" s="6">
        <v>123585</v>
      </c>
      <c r="G735" t="s">
        <v>137</v>
      </c>
    </row>
    <row r="736" spans="1:7" x14ac:dyDescent="0.2">
      <c r="A736" s="5">
        <v>46235</v>
      </c>
      <c r="B736" t="s">
        <v>129</v>
      </c>
      <c r="C736" t="s">
        <v>97</v>
      </c>
      <c r="D736" t="s">
        <v>75</v>
      </c>
      <c r="F736" s="6">
        <v>35310</v>
      </c>
      <c r="G736" t="s">
        <v>137</v>
      </c>
    </row>
    <row r="737" spans="1:7" x14ac:dyDescent="0.2">
      <c r="A737" s="5">
        <v>46235</v>
      </c>
      <c r="B737" t="s">
        <v>129</v>
      </c>
      <c r="C737" t="s">
        <v>97</v>
      </c>
      <c r="D737" t="s">
        <v>76</v>
      </c>
      <c r="F737" s="6">
        <v>21186</v>
      </c>
      <c r="G737" t="s">
        <v>137</v>
      </c>
    </row>
    <row r="738" spans="1:7" x14ac:dyDescent="0.2">
      <c r="A738" s="5">
        <v>46235</v>
      </c>
      <c r="B738" t="s">
        <v>129</v>
      </c>
      <c r="C738" t="s">
        <v>97</v>
      </c>
      <c r="D738" t="s">
        <v>79</v>
      </c>
      <c r="F738" s="6">
        <v>28248</v>
      </c>
      <c r="G738" t="s">
        <v>137</v>
      </c>
    </row>
    <row r="739" spans="1:7" x14ac:dyDescent="0.2">
      <c r="A739" s="5">
        <v>46235</v>
      </c>
      <c r="B739" t="s">
        <v>129</v>
      </c>
      <c r="C739" t="s">
        <v>97</v>
      </c>
      <c r="D739" t="s">
        <v>87</v>
      </c>
      <c r="F739" s="6">
        <v>10593</v>
      </c>
      <c r="G739" t="s">
        <v>137</v>
      </c>
    </row>
    <row r="740" spans="1:7" x14ac:dyDescent="0.2">
      <c r="A740" s="5">
        <v>46235</v>
      </c>
      <c r="B740" t="s">
        <v>129</v>
      </c>
      <c r="C740" t="s">
        <v>97</v>
      </c>
      <c r="D740" t="s">
        <v>91</v>
      </c>
      <c r="F740" s="6">
        <v>7062</v>
      </c>
      <c r="G740" t="s">
        <v>137</v>
      </c>
    </row>
    <row r="741" spans="1:7" x14ac:dyDescent="0.2">
      <c r="A741" s="5">
        <v>46235</v>
      </c>
      <c r="B741" t="s">
        <v>129</v>
      </c>
      <c r="C741" t="s">
        <v>102</v>
      </c>
      <c r="D741" t="s">
        <v>67</v>
      </c>
      <c r="F741" s="6">
        <v>160500</v>
      </c>
      <c r="G741" t="s">
        <v>137</v>
      </c>
    </row>
    <row r="742" spans="1:7" x14ac:dyDescent="0.2">
      <c r="A742" s="5">
        <v>46235</v>
      </c>
      <c r="B742" t="s">
        <v>129</v>
      </c>
      <c r="C742" t="s">
        <v>102</v>
      </c>
      <c r="D742" t="s">
        <v>71</v>
      </c>
      <c r="F742" s="6">
        <v>35310</v>
      </c>
      <c r="G742" t="s">
        <v>137</v>
      </c>
    </row>
    <row r="743" spans="1:7" x14ac:dyDescent="0.2">
      <c r="A743" s="5">
        <v>46235</v>
      </c>
      <c r="B743" t="s">
        <v>129</v>
      </c>
      <c r="C743" t="s">
        <v>102</v>
      </c>
      <c r="D743" t="s">
        <v>75</v>
      </c>
      <c r="F743" s="6">
        <v>16050</v>
      </c>
      <c r="G743" t="s">
        <v>137</v>
      </c>
    </row>
    <row r="744" spans="1:7" x14ac:dyDescent="0.2">
      <c r="A744" s="5">
        <v>46235</v>
      </c>
      <c r="B744" t="s">
        <v>129</v>
      </c>
      <c r="C744" t="s">
        <v>102</v>
      </c>
      <c r="D744" t="s">
        <v>76</v>
      </c>
      <c r="F744" s="6">
        <v>9630</v>
      </c>
      <c r="G744" t="s">
        <v>137</v>
      </c>
    </row>
    <row r="745" spans="1:7" x14ac:dyDescent="0.2">
      <c r="A745" s="5">
        <v>46235</v>
      </c>
      <c r="B745" t="s">
        <v>129</v>
      </c>
      <c r="C745" t="s">
        <v>102</v>
      </c>
      <c r="D745" t="s">
        <v>79</v>
      </c>
      <c r="F745" s="6">
        <v>12840</v>
      </c>
      <c r="G745" t="s">
        <v>137</v>
      </c>
    </row>
    <row r="746" spans="1:7" x14ac:dyDescent="0.2">
      <c r="A746" s="5">
        <v>46235</v>
      </c>
      <c r="B746" t="s">
        <v>129</v>
      </c>
      <c r="C746" t="s">
        <v>102</v>
      </c>
      <c r="D746" t="s">
        <v>81</v>
      </c>
      <c r="F746" s="6">
        <v>216675</v>
      </c>
      <c r="G746" t="s">
        <v>137</v>
      </c>
    </row>
    <row r="747" spans="1:7" x14ac:dyDescent="0.2">
      <c r="A747" s="5">
        <v>46235</v>
      </c>
      <c r="B747" t="s">
        <v>129</v>
      </c>
      <c r="C747" t="s">
        <v>102</v>
      </c>
      <c r="D747" t="s">
        <v>87</v>
      </c>
      <c r="F747" s="6">
        <v>4815</v>
      </c>
      <c r="G747" t="s">
        <v>137</v>
      </c>
    </row>
    <row r="748" spans="1:7" x14ac:dyDescent="0.2">
      <c r="A748" s="5">
        <v>46235</v>
      </c>
      <c r="B748" t="s">
        <v>129</v>
      </c>
      <c r="C748" t="s">
        <v>102</v>
      </c>
      <c r="D748" t="s">
        <v>91</v>
      </c>
      <c r="F748" s="6">
        <v>3210</v>
      </c>
      <c r="G748" t="s">
        <v>137</v>
      </c>
    </row>
    <row r="749" spans="1:7" x14ac:dyDescent="0.2">
      <c r="A749" s="5">
        <v>46235</v>
      </c>
      <c r="B749" t="s">
        <v>129</v>
      </c>
      <c r="C749" t="s">
        <v>106</v>
      </c>
      <c r="D749" t="s">
        <v>65</v>
      </c>
      <c r="F749" s="6">
        <v>72760</v>
      </c>
      <c r="G749" t="s">
        <v>137</v>
      </c>
    </row>
    <row r="750" spans="1:7" x14ac:dyDescent="0.2">
      <c r="A750" s="5">
        <v>46235</v>
      </c>
      <c r="B750" t="s">
        <v>129</v>
      </c>
      <c r="C750" t="s">
        <v>106</v>
      </c>
      <c r="D750" t="s">
        <v>67</v>
      </c>
      <c r="F750" s="6">
        <v>181900</v>
      </c>
      <c r="G750" t="s">
        <v>137</v>
      </c>
    </row>
    <row r="751" spans="1:7" x14ac:dyDescent="0.2">
      <c r="A751" s="5">
        <v>46235</v>
      </c>
      <c r="B751" t="s">
        <v>129</v>
      </c>
      <c r="C751" t="s">
        <v>106</v>
      </c>
      <c r="D751" t="s">
        <v>71</v>
      </c>
      <c r="F751" s="6">
        <v>40018</v>
      </c>
      <c r="G751" t="s">
        <v>137</v>
      </c>
    </row>
    <row r="752" spans="1:7" x14ac:dyDescent="0.2">
      <c r="A752" s="5">
        <v>46235</v>
      </c>
      <c r="B752" t="s">
        <v>129</v>
      </c>
      <c r="C752" t="s">
        <v>106</v>
      </c>
      <c r="D752" t="s">
        <v>75</v>
      </c>
      <c r="F752" s="6">
        <v>18190</v>
      </c>
      <c r="G752" t="s">
        <v>137</v>
      </c>
    </row>
    <row r="753" spans="1:7" x14ac:dyDescent="0.2">
      <c r="A753" s="5">
        <v>46235</v>
      </c>
      <c r="B753" t="s">
        <v>129</v>
      </c>
      <c r="C753" t="s">
        <v>106</v>
      </c>
      <c r="D753" t="s">
        <v>76</v>
      </c>
      <c r="F753" s="6">
        <v>10914</v>
      </c>
      <c r="G753" t="s">
        <v>137</v>
      </c>
    </row>
    <row r="754" spans="1:7" x14ac:dyDescent="0.2">
      <c r="A754" s="5">
        <v>46235</v>
      </c>
      <c r="B754" t="s">
        <v>129</v>
      </c>
      <c r="C754" t="s">
        <v>106</v>
      </c>
      <c r="D754" t="s">
        <v>79</v>
      </c>
      <c r="F754" s="6">
        <v>7276</v>
      </c>
      <c r="G754" t="s">
        <v>137</v>
      </c>
    </row>
    <row r="755" spans="1:7" x14ac:dyDescent="0.2">
      <c r="A755" s="5">
        <v>46235</v>
      </c>
      <c r="B755" t="s">
        <v>129</v>
      </c>
      <c r="C755" t="s">
        <v>106</v>
      </c>
      <c r="D755" t="s">
        <v>87</v>
      </c>
      <c r="F755" s="6">
        <v>5457</v>
      </c>
      <c r="G755" t="s">
        <v>137</v>
      </c>
    </row>
    <row r="756" spans="1:7" x14ac:dyDescent="0.2">
      <c r="A756" s="5">
        <v>46235</v>
      </c>
      <c r="B756" t="s">
        <v>129</v>
      </c>
      <c r="C756" t="s">
        <v>106</v>
      </c>
      <c r="D756" t="s">
        <v>91</v>
      </c>
      <c r="F756" s="6">
        <v>3638</v>
      </c>
      <c r="G756" t="s">
        <v>137</v>
      </c>
    </row>
    <row r="757" spans="1:7" x14ac:dyDescent="0.2">
      <c r="A757" s="5">
        <v>46235</v>
      </c>
      <c r="B757" t="s">
        <v>129</v>
      </c>
      <c r="C757" t="s">
        <v>110</v>
      </c>
      <c r="D757" t="s">
        <v>61</v>
      </c>
      <c r="F757" s="6">
        <v>556400</v>
      </c>
      <c r="G757" t="s">
        <v>137</v>
      </c>
    </row>
    <row r="758" spans="1:7" x14ac:dyDescent="0.2">
      <c r="A758" s="5">
        <v>46235</v>
      </c>
      <c r="B758" t="s">
        <v>129</v>
      </c>
      <c r="C758" t="s">
        <v>110</v>
      </c>
      <c r="D758" t="s">
        <v>67</v>
      </c>
      <c r="F758" s="6">
        <v>556400</v>
      </c>
      <c r="G758" t="s">
        <v>137</v>
      </c>
    </row>
    <row r="759" spans="1:7" x14ac:dyDescent="0.2">
      <c r="A759" s="5">
        <v>46235</v>
      </c>
      <c r="B759" t="s">
        <v>129</v>
      </c>
      <c r="C759" t="s">
        <v>110</v>
      </c>
      <c r="D759" t="s">
        <v>71</v>
      </c>
      <c r="F759" s="6">
        <v>122408</v>
      </c>
      <c r="G759" t="s">
        <v>137</v>
      </c>
    </row>
    <row r="760" spans="1:7" x14ac:dyDescent="0.2">
      <c r="A760" s="5">
        <v>46235</v>
      </c>
      <c r="B760" t="s">
        <v>129</v>
      </c>
      <c r="C760" t="s">
        <v>110</v>
      </c>
      <c r="D760" t="s">
        <v>75</v>
      </c>
      <c r="F760" s="6">
        <v>55640</v>
      </c>
      <c r="G760" t="s">
        <v>137</v>
      </c>
    </row>
    <row r="761" spans="1:7" x14ac:dyDescent="0.2">
      <c r="A761" s="5">
        <v>46235</v>
      </c>
      <c r="B761" t="s">
        <v>129</v>
      </c>
      <c r="C761" t="s">
        <v>110</v>
      </c>
      <c r="D761" t="s">
        <v>76</v>
      </c>
      <c r="F761" s="6">
        <v>33384</v>
      </c>
      <c r="G761" t="s">
        <v>137</v>
      </c>
    </row>
    <row r="762" spans="1:7" x14ac:dyDescent="0.2">
      <c r="A762" s="5">
        <v>46235</v>
      </c>
      <c r="B762" t="s">
        <v>129</v>
      </c>
      <c r="C762" t="s">
        <v>110</v>
      </c>
      <c r="D762" t="s">
        <v>79</v>
      </c>
      <c r="F762" s="6">
        <v>22256</v>
      </c>
      <c r="G762" t="s">
        <v>137</v>
      </c>
    </row>
    <row r="763" spans="1:7" x14ac:dyDescent="0.2">
      <c r="A763" s="5">
        <v>46235</v>
      </c>
      <c r="B763" t="s">
        <v>129</v>
      </c>
      <c r="C763" t="s">
        <v>110</v>
      </c>
      <c r="D763" t="s">
        <v>87</v>
      </c>
      <c r="F763" s="6">
        <v>16692</v>
      </c>
      <c r="G763" t="s">
        <v>137</v>
      </c>
    </row>
    <row r="764" spans="1:7" x14ac:dyDescent="0.2">
      <c r="A764" s="5">
        <v>46235</v>
      </c>
      <c r="B764" t="s">
        <v>129</v>
      </c>
      <c r="C764" t="s">
        <v>110</v>
      </c>
      <c r="D764" t="s">
        <v>89</v>
      </c>
      <c r="F764" s="6">
        <v>94588</v>
      </c>
      <c r="G764" t="s">
        <v>137</v>
      </c>
    </row>
    <row r="765" spans="1:7" x14ac:dyDescent="0.2">
      <c r="A765" s="5">
        <v>46235</v>
      </c>
      <c r="B765" t="s">
        <v>129</v>
      </c>
      <c r="C765" t="s">
        <v>110</v>
      </c>
      <c r="D765" t="s">
        <v>91</v>
      </c>
      <c r="F765" s="6">
        <v>11128</v>
      </c>
      <c r="G765" t="s">
        <v>137</v>
      </c>
    </row>
    <row r="766" spans="1:7" x14ac:dyDescent="0.2">
      <c r="A766" s="5">
        <v>46235</v>
      </c>
      <c r="B766" t="s">
        <v>129</v>
      </c>
      <c r="C766" t="s">
        <v>114</v>
      </c>
      <c r="D766" t="s">
        <v>67</v>
      </c>
      <c r="F766" s="6">
        <v>149800</v>
      </c>
      <c r="G766" t="s">
        <v>137</v>
      </c>
    </row>
    <row r="767" spans="1:7" x14ac:dyDescent="0.2">
      <c r="A767" s="5">
        <v>46235</v>
      </c>
      <c r="B767" t="s">
        <v>129</v>
      </c>
      <c r="C767" t="s">
        <v>114</v>
      </c>
      <c r="D767" t="s">
        <v>71</v>
      </c>
      <c r="F767" s="6">
        <v>32956</v>
      </c>
      <c r="G767" t="s">
        <v>137</v>
      </c>
    </row>
    <row r="768" spans="1:7" x14ac:dyDescent="0.2">
      <c r="A768" s="5">
        <v>46235</v>
      </c>
      <c r="B768" t="s">
        <v>129</v>
      </c>
      <c r="C768" t="s">
        <v>114</v>
      </c>
      <c r="D768" t="s">
        <v>75</v>
      </c>
      <c r="F768" s="6">
        <v>14980</v>
      </c>
      <c r="G768" t="s">
        <v>137</v>
      </c>
    </row>
    <row r="769" spans="1:7" x14ac:dyDescent="0.2">
      <c r="A769" s="5">
        <v>46235</v>
      </c>
      <c r="B769" t="s">
        <v>129</v>
      </c>
      <c r="C769" t="s">
        <v>114</v>
      </c>
      <c r="D769" t="s">
        <v>76</v>
      </c>
      <c r="F769" s="6">
        <v>8988</v>
      </c>
      <c r="G769" t="s">
        <v>137</v>
      </c>
    </row>
    <row r="770" spans="1:7" x14ac:dyDescent="0.2">
      <c r="A770" s="5">
        <v>46235</v>
      </c>
      <c r="B770" t="s">
        <v>129</v>
      </c>
      <c r="C770" t="s">
        <v>114</v>
      </c>
      <c r="D770" t="s">
        <v>79</v>
      </c>
      <c r="F770" s="6">
        <v>5992</v>
      </c>
      <c r="G770" t="s">
        <v>137</v>
      </c>
    </row>
    <row r="771" spans="1:7" x14ac:dyDescent="0.2">
      <c r="A771" s="5">
        <v>46235</v>
      </c>
      <c r="B771" t="s">
        <v>129</v>
      </c>
      <c r="C771" t="s">
        <v>114</v>
      </c>
      <c r="D771" t="s">
        <v>87</v>
      </c>
      <c r="F771" s="6">
        <v>4494</v>
      </c>
      <c r="G771" t="s">
        <v>137</v>
      </c>
    </row>
    <row r="772" spans="1:7" x14ac:dyDescent="0.2">
      <c r="A772" s="5">
        <v>46235</v>
      </c>
      <c r="B772" t="s">
        <v>129</v>
      </c>
      <c r="C772" t="s">
        <v>114</v>
      </c>
      <c r="D772" t="s">
        <v>91</v>
      </c>
      <c r="F772" s="6">
        <v>2996</v>
      </c>
      <c r="G772" t="s">
        <v>137</v>
      </c>
    </row>
    <row r="773" spans="1:7" x14ac:dyDescent="0.2">
      <c r="A773" s="5">
        <v>46235</v>
      </c>
      <c r="B773" t="s">
        <v>129</v>
      </c>
      <c r="C773" t="s">
        <v>118</v>
      </c>
      <c r="D773" t="s">
        <v>67</v>
      </c>
      <c r="F773" s="6">
        <v>235400</v>
      </c>
      <c r="G773" t="s">
        <v>137</v>
      </c>
    </row>
    <row r="774" spans="1:7" x14ac:dyDescent="0.2">
      <c r="A774" s="5">
        <v>46235</v>
      </c>
      <c r="B774" t="s">
        <v>129</v>
      </c>
      <c r="C774" t="s">
        <v>118</v>
      </c>
      <c r="D774" t="s">
        <v>71</v>
      </c>
      <c r="F774" s="6">
        <v>51788</v>
      </c>
      <c r="G774" t="s">
        <v>137</v>
      </c>
    </row>
    <row r="775" spans="1:7" x14ac:dyDescent="0.2">
      <c r="A775" s="5">
        <v>46235</v>
      </c>
      <c r="B775" t="s">
        <v>129</v>
      </c>
      <c r="C775" t="s">
        <v>118</v>
      </c>
      <c r="D775" t="s">
        <v>75</v>
      </c>
      <c r="F775" s="6">
        <v>23540</v>
      </c>
      <c r="G775" t="s">
        <v>137</v>
      </c>
    </row>
    <row r="776" spans="1:7" x14ac:dyDescent="0.2">
      <c r="A776" s="5">
        <v>46235</v>
      </c>
      <c r="B776" t="s">
        <v>129</v>
      </c>
      <c r="C776" t="s">
        <v>118</v>
      </c>
      <c r="D776" t="s">
        <v>76</v>
      </c>
      <c r="F776" s="6">
        <v>14124</v>
      </c>
      <c r="G776" t="s">
        <v>137</v>
      </c>
    </row>
    <row r="777" spans="1:7" x14ac:dyDescent="0.2">
      <c r="A777" s="5">
        <v>46235</v>
      </c>
      <c r="B777" t="s">
        <v>129</v>
      </c>
      <c r="C777" t="s">
        <v>118</v>
      </c>
      <c r="D777" t="s">
        <v>79</v>
      </c>
      <c r="F777" s="6">
        <v>9416</v>
      </c>
      <c r="G777" t="s">
        <v>137</v>
      </c>
    </row>
    <row r="778" spans="1:7" x14ac:dyDescent="0.2">
      <c r="A778" s="5">
        <v>46235</v>
      </c>
      <c r="B778" t="s">
        <v>129</v>
      </c>
      <c r="C778" t="s">
        <v>118</v>
      </c>
      <c r="D778" t="s">
        <v>83</v>
      </c>
      <c r="F778" s="6">
        <v>136532</v>
      </c>
      <c r="G778" t="s">
        <v>137</v>
      </c>
    </row>
    <row r="779" spans="1:7" x14ac:dyDescent="0.2">
      <c r="A779" s="5">
        <v>46235</v>
      </c>
      <c r="B779" t="s">
        <v>129</v>
      </c>
      <c r="C779" t="s">
        <v>118</v>
      </c>
      <c r="D779" t="s">
        <v>85</v>
      </c>
      <c r="F779" s="6">
        <v>75328</v>
      </c>
      <c r="G779" t="s">
        <v>137</v>
      </c>
    </row>
    <row r="780" spans="1:7" x14ac:dyDescent="0.2">
      <c r="A780" s="5">
        <v>46235</v>
      </c>
      <c r="B780" t="s">
        <v>129</v>
      </c>
      <c r="C780" t="s">
        <v>118</v>
      </c>
      <c r="D780" t="s">
        <v>87</v>
      </c>
      <c r="F780" s="6">
        <v>7062</v>
      </c>
      <c r="G780" t="s">
        <v>137</v>
      </c>
    </row>
    <row r="781" spans="1:7" x14ac:dyDescent="0.2">
      <c r="A781" s="5">
        <v>46235</v>
      </c>
      <c r="B781" t="s">
        <v>129</v>
      </c>
      <c r="C781" t="s">
        <v>118</v>
      </c>
      <c r="D781" t="s">
        <v>91</v>
      </c>
      <c r="F781" s="6">
        <v>4708</v>
      </c>
      <c r="G781" t="s">
        <v>137</v>
      </c>
    </row>
    <row r="782" spans="1:7" x14ac:dyDescent="0.2">
      <c r="A782" s="5">
        <v>46235</v>
      </c>
      <c r="B782" t="s">
        <v>134</v>
      </c>
      <c r="C782" t="s">
        <v>122</v>
      </c>
      <c r="D782" t="s">
        <v>54</v>
      </c>
      <c r="E782" t="s">
        <v>130</v>
      </c>
      <c r="F782" s="6">
        <v>679448</v>
      </c>
      <c r="G782" t="s">
        <v>137</v>
      </c>
    </row>
    <row r="783" spans="1:7" x14ac:dyDescent="0.2">
      <c r="A783" s="5">
        <v>46235</v>
      </c>
      <c r="B783" t="s">
        <v>134</v>
      </c>
      <c r="C783" t="s">
        <v>122</v>
      </c>
      <c r="D783" t="s">
        <v>54</v>
      </c>
      <c r="E783" t="s">
        <v>132</v>
      </c>
      <c r="F783" s="6">
        <v>365856</v>
      </c>
      <c r="G783" t="s">
        <v>137</v>
      </c>
    </row>
    <row r="784" spans="1:7" x14ac:dyDescent="0.2">
      <c r="A784" s="5">
        <v>46235</v>
      </c>
      <c r="B784" t="s">
        <v>134</v>
      </c>
      <c r="C784" t="s">
        <v>122</v>
      </c>
      <c r="D784" t="s">
        <v>58</v>
      </c>
      <c r="E784" t="s">
        <v>133</v>
      </c>
      <c r="F784" s="6">
        <v>104530</v>
      </c>
      <c r="G784" t="s">
        <v>137</v>
      </c>
    </row>
    <row r="785" spans="1:7" x14ac:dyDescent="0.2">
      <c r="A785" s="5">
        <v>46235</v>
      </c>
      <c r="B785" t="s">
        <v>134</v>
      </c>
      <c r="C785" t="s">
        <v>97</v>
      </c>
      <c r="D785" t="s">
        <v>67</v>
      </c>
      <c r="F785" s="6">
        <v>123585</v>
      </c>
      <c r="G785" t="s">
        <v>137</v>
      </c>
    </row>
    <row r="786" spans="1:7" x14ac:dyDescent="0.2">
      <c r="A786" s="5">
        <v>46235</v>
      </c>
      <c r="B786" t="s">
        <v>134</v>
      </c>
      <c r="C786" t="s">
        <v>97</v>
      </c>
      <c r="D786" t="s">
        <v>71</v>
      </c>
      <c r="F786" s="6">
        <v>27189</v>
      </c>
      <c r="G786" t="s">
        <v>137</v>
      </c>
    </row>
    <row r="787" spans="1:7" x14ac:dyDescent="0.2">
      <c r="A787" s="5">
        <v>46235</v>
      </c>
      <c r="B787" t="s">
        <v>134</v>
      </c>
      <c r="C787" t="s">
        <v>97</v>
      </c>
      <c r="D787" t="s">
        <v>73</v>
      </c>
      <c r="F787" s="6">
        <v>43255</v>
      </c>
      <c r="G787" t="s">
        <v>137</v>
      </c>
    </row>
    <row r="788" spans="1:7" x14ac:dyDescent="0.2">
      <c r="A788" s="5">
        <v>46235</v>
      </c>
      <c r="B788" t="s">
        <v>134</v>
      </c>
      <c r="C788" t="s">
        <v>97</v>
      </c>
      <c r="D788" t="s">
        <v>75</v>
      </c>
      <c r="F788" s="6">
        <v>12358</v>
      </c>
      <c r="G788" t="s">
        <v>137</v>
      </c>
    </row>
    <row r="789" spans="1:7" x14ac:dyDescent="0.2">
      <c r="A789" s="5">
        <v>46235</v>
      </c>
      <c r="B789" t="s">
        <v>134</v>
      </c>
      <c r="C789" t="s">
        <v>97</v>
      </c>
      <c r="D789" t="s">
        <v>76</v>
      </c>
      <c r="F789" s="6">
        <v>7415</v>
      </c>
      <c r="G789" t="s">
        <v>137</v>
      </c>
    </row>
    <row r="790" spans="1:7" x14ac:dyDescent="0.2">
      <c r="A790" s="5">
        <v>46235</v>
      </c>
      <c r="B790" t="s">
        <v>134</v>
      </c>
      <c r="C790" t="s">
        <v>97</v>
      </c>
      <c r="D790" t="s">
        <v>79</v>
      </c>
      <c r="F790" s="6">
        <v>9887</v>
      </c>
      <c r="G790" t="s">
        <v>137</v>
      </c>
    </row>
    <row r="791" spans="1:7" x14ac:dyDescent="0.2">
      <c r="A791" s="5">
        <v>46235</v>
      </c>
      <c r="B791" t="s">
        <v>134</v>
      </c>
      <c r="C791" t="s">
        <v>97</v>
      </c>
      <c r="D791" t="s">
        <v>87</v>
      </c>
      <c r="F791" s="6">
        <v>3708</v>
      </c>
      <c r="G791" t="s">
        <v>137</v>
      </c>
    </row>
    <row r="792" spans="1:7" x14ac:dyDescent="0.2">
      <c r="A792" s="5">
        <v>46235</v>
      </c>
      <c r="B792" t="s">
        <v>134</v>
      </c>
      <c r="C792" t="s">
        <v>97</v>
      </c>
      <c r="D792" t="s">
        <v>91</v>
      </c>
      <c r="F792" s="6">
        <v>2472</v>
      </c>
      <c r="G792" t="s">
        <v>137</v>
      </c>
    </row>
    <row r="793" spans="1:7" x14ac:dyDescent="0.2">
      <c r="A793" s="5">
        <v>46235</v>
      </c>
      <c r="B793" t="s">
        <v>134</v>
      </c>
      <c r="C793" t="s">
        <v>102</v>
      </c>
      <c r="D793" t="s">
        <v>67</v>
      </c>
      <c r="F793" s="6">
        <v>56175</v>
      </c>
      <c r="G793" t="s">
        <v>137</v>
      </c>
    </row>
    <row r="794" spans="1:7" x14ac:dyDescent="0.2">
      <c r="A794" s="5">
        <v>46235</v>
      </c>
      <c r="B794" t="s">
        <v>134</v>
      </c>
      <c r="C794" t="s">
        <v>102</v>
      </c>
      <c r="D794" t="s">
        <v>71</v>
      </c>
      <c r="F794" s="6">
        <v>12358</v>
      </c>
      <c r="G794" t="s">
        <v>137</v>
      </c>
    </row>
    <row r="795" spans="1:7" x14ac:dyDescent="0.2">
      <c r="A795" s="5">
        <v>46235</v>
      </c>
      <c r="B795" t="s">
        <v>134</v>
      </c>
      <c r="C795" t="s">
        <v>102</v>
      </c>
      <c r="D795" t="s">
        <v>75</v>
      </c>
      <c r="F795" s="6">
        <v>5618</v>
      </c>
      <c r="G795" t="s">
        <v>137</v>
      </c>
    </row>
    <row r="796" spans="1:7" x14ac:dyDescent="0.2">
      <c r="A796" s="5">
        <v>46235</v>
      </c>
      <c r="B796" t="s">
        <v>134</v>
      </c>
      <c r="C796" t="s">
        <v>102</v>
      </c>
      <c r="D796" t="s">
        <v>76</v>
      </c>
      <c r="F796" s="6">
        <v>3370</v>
      </c>
      <c r="G796" t="s">
        <v>137</v>
      </c>
    </row>
    <row r="797" spans="1:7" x14ac:dyDescent="0.2">
      <c r="A797" s="5">
        <v>46235</v>
      </c>
      <c r="B797" t="s">
        <v>134</v>
      </c>
      <c r="C797" t="s">
        <v>102</v>
      </c>
      <c r="D797" t="s">
        <v>79</v>
      </c>
      <c r="F797" s="6">
        <v>4494</v>
      </c>
      <c r="G797" t="s">
        <v>137</v>
      </c>
    </row>
    <row r="798" spans="1:7" x14ac:dyDescent="0.2">
      <c r="A798" s="5">
        <v>46235</v>
      </c>
      <c r="B798" t="s">
        <v>134</v>
      </c>
      <c r="C798" t="s">
        <v>102</v>
      </c>
      <c r="D798" t="s">
        <v>81</v>
      </c>
      <c r="F798" s="6">
        <v>75836</v>
      </c>
      <c r="G798" t="s">
        <v>137</v>
      </c>
    </row>
    <row r="799" spans="1:7" x14ac:dyDescent="0.2">
      <c r="A799" s="5">
        <v>46235</v>
      </c>
      <c r="B799" t="s">
        <v>134</v>
      </c>
      <c r="C799" t="s">
        <v>102</v>
      </c>
      <c r="D799" t="s">
        <v>87</v>
      </c>
      <c r="F799" s="6">
        <v>1685</v>
      </c>
      <c r="G799" t="s">
        <v>137</v>
      </c>
    </row>
    <row r="800" spans="1:7" x14ac:dyDescent="0.2">
      <c r="A800" s="5">
        <v>46235</v>
      </c>
      <c r="B800" t="s">
        <v>134</v>
      </c>
      <c r="C800" t="s">
        <v>102</v>
      </c>
      <c r="D800" t="s">
        <v>91</v>
      </c>
      <c r="F800" s="6">
        <v>1124</v>
      </c>
      <c r="G800" t="s">
        <v>137</v>
      </c>
    </row>
    <row r="801" spans="1:7" x14ac:dyDescent="0.2">
      <c r="A801" s="5">
        <v>46235</v>
      </c>
      <c r="B801" t="s">
        <v>134</v>
      </c>
      <c r="C801" t="s">
        <v>106</v>
      </c>
      <c r="D801" t="s">
        <v>65</v>
      </c>
      <c r="F801" s="6">
        <v>25466</v>
      </c>
      <c r="G801" t="s">
        <v>137</v>
      </c>
    </row>
    <row r="802" spans="1:7" x14ac:dyDescent="0.2">
      <c r="A802" s="5">
        <v>46235</v>
      </c>
      <c r="B802" t="s">
        <v>134</v>
      </c>
      <c r="C802" t="s">
        <v>106</v>
      </c>
      <c r="D802" t="s">
        <v>67</v>
      </c>
      <c r="F802" s="6">
        <v>63665</v>
      </c>
      <c r="G802" t="s">
        <v>137</v>
      </c>
    </row>
    <row r="803" spans="1:7" x14ac:dyDescent="0.2">
      <c r="A803" s="5">
        <v>46235</v>
      </c>
      <c r="B803" t="s">
        <v>134</v>
      </c>
      <c r="C803" t="s">
        <v>106</v>
      </c>
      <c r="D803" t="s">
        <v>71</v>
      </c>
      <c r="F803" s="6">
        <v>14006</v>
      </c>
      <c r="G803" t="s">
        <v>137</v>
      </c>
    </row>
    <row r="804" spans="1:7" x14ac:dyDescent="0.2">
      <c r="A804" s="5">
        <v>46235</v>
      </c>
      <c r="B804" t="s">
        <v>134</v>
      </c>
      <c r="C804" t="s">
        <v>106</v>
      </c>
      <c r="D804" t="s">
        <v>75</v>
      </c>
      <c r="F804" s="6">
        <v>6366</v>
      </c>
      <c r="G804" t="s">
        <v>137</v>
      </c>
    </row>
    <row r="805" spans="1:7" x14ac:dyDescent="0.2">
      <c r="A805" s="5">
        <v>46235</v>
      </c>
      <c r="B805" t="s">
        <v>134</v>
      </c>
      <c r="C805" t="s">
        <v>106</v>
      </c>
      <c r="D805" t="s">
        <v>76</v>
      </c>
      <c r="F805" s="6">
        <v>3820</v>
      </c>
      <c r="G805" t="s">
        <v>137</v>
      </c>
    </row>
    <row r="806" spans="1:7" x14ac:dyDescent="0.2">
      <c r="A806" s="5">
        <v>46235</v>
      </c>
      <c r="B806" t="s">
        <v>134</v>
      </c>
      <c r="C806" t="s">
        <v>106</v>
      </c>
      <c r="D806" t="s">
        <v>79</v>
      </c>
      <c r="F806" s="6">
        <v>2547</v>
      </c>
      <c r="G806" t="s">
        <v>137</v>
      </c>
    </row>
    <row r="807" spans="1:7" x14ac:dyDescent="0.2">
      <c r="A807" s="5">
        <v>46235</v>
      </c>
      <c r="B807" t="s">
        <v>134</v>
      </c>
      <c r="C807" t="s">
        <v>106</v>
      </c>
      <c r="D807" t="s">
        <v>87</v>
      </c>
      <c r="F807" s="6">
        <v>1910</v>
      </c>
      <c r="G807" t="s">
        <v>137</v>
      </c>
    </row>
    <row r="808" spans="1:7" x14ac:dyDescent="0.2">
      <c r="A808" s="5">
        <v>46235</v>
      </c>
      <c r="B808" t="s">
        <v>134</v>
      </c>
      <c r="C808" t="s">
        <v>106</v>
      </c>
      <c r="D808" t="s">
        <v>91</v>
      </c>
      <c r="F808" s="6">
        <v>1273</v>
      </c>
      <c r="G808" t="s">
        <v>137</v>
      </c>
    </row>
    <row r="809" spans="1:7" x14ac:dyDescent="0.2">
      <c r="A809" s="5">
        <v>46235</v>
      </c>
      <c r="B809" t="s">
        <v>134</v>
      </c>
      <c r="C809" t="s">
        <v>110</v>
      </c>
      <c r="D809" t="s">
        <v>61</v>
      </c>
      <c r="F809" s="6">
        <v>194740</v>
      </c>
      <c r="G809" t="s">
        <v>137</v>
      </c>
    </row>
    <row r="810" spans="1:7" x14ac:dyDescent="0.2">
      <c r="A810" s="5">
        <v>46235</v>
      </c>
      <c r="B810" t="s">
        <v>134</v>
      </c>
      <c r="C810" t="s">
        <v>110</v>
      </c>
      <c r="D810" t="s">
        <v>67</v>
      </c>
      <c r="F810" s="6">
        <v>194740</v>
      </c>
      <c r="G810" t="s">
        <v>137</v>
      </c>
    </row>
    <row r="811" spans="1:7" x14ac:dyDescent="0.2">
      <c r="A811" s="5">
        <v>46235</v>
      </c>
      <c r="B811" t="s">
        <v>134</v>
      </c>
      <c r="C811" t="s">
        <v>110</v>
      </c>
      <c r="D811" t="s">
        <v>71</v>
      </c>
      <c r="F811" s="6">
        <v>42843</v>
      </c>
      <c r="G811" t="s">
        <v>137</v>
      </c>
    </row>
    <row r="812" spans="1:7" x14ac:dyDescent="0.2">
      <c r="A812" s="5">
        <v>46235</v>
      </c>
      <c r="B812" t="s">
        <v>134</v>
      </c>
      <c r="C812" t="s">
        <v>110</v>
      </c>
      <c r="D812" t="s">
        <v>75</v>
      </c>
      <c r="F812" s="6">
        <v>19474</v>
      </c>
      <c r="G812" t="s">
        <v>137</v>
      </c>
    </row>
    <row r="813" spans="1:7" x14ac:dyDescent="0.2">
      <c r="A813" s="5">
        <v>46235</v>
      </c>
      <c r="B813" t="s">
        <v>134</v>
      </c>
      <c r="C813" t="s">
        <v>110</v>
      </c>
      <c r="D813" t="s">
        <v>76</v>
      </c>
      <c r="F813" s="6">
        <v>11684</v>
      </c>
      <c r="G813" t="s">
        <v>137</v>
      </c>
    </row>
    <row r="814" spans="1:7" x14ac:dyDescent="0.2">
      <c r="A814" s="5">
        <v>46235</v>
      </c>
      <c r="B814" t="s">
        <v>134</v>
      </c>
      <c r="C814" t="s">
        <v>110</v>
      </c>
      <c r="D814" t="s">
        <v>79</v>
      </c>
      <c r="F814" s="6">
        <v>7790</v>
      </c>
      <c r="G814" t="s">
        <v>137</v>
      </c>
    </row>
    <row r="815" spans="1:7" x14ac:dyDescent="0.2">
      <c r="A815" s="5">
        <v>46235</v>
      </c>
      <c r="B815" t="s">
        <v>134</v>
      </c>
      <c r="C815" t="s">
        <v>110</v>
      </c>
      <c r="D815" t="s">
        <v>87</v>
      </c>
      <c r="F815" s="6">
        <v>5842</v>
      </c>
      <c r="G815" t="s">
        <v>137</v>
      </c>
    </row>
    <row r="816" spans="1:7" x14ac:dyDescent="0.2">
      <c r="A816" s="5">
        <v>46235</v>
      </c>
      <c r="B816" t="s">
        <v>134</v>
      </c>
      <c r="C816" t="s">
        <v>110</v>
      </c>
      <c r="D816" t="s">
        <v>89</v>
      </c>
      <c r="F816" s="6">
        <v>33106</v>
      </c>
      <c r="G816" t="s">
        <v>137</v>
      </c>
    </row>
    <row r="817" spans="1:7" x14ac:dyDescent="0.2">
      <c r="A817" s="5">
        <v>46235</v>
      </c>
      <c r="B817" t="s">
        <v>134</v>
      </c>
      <c r="C817" t="s">
        <v>110</v>
      </c>
      <c r="D817" t="s">
        <v>91</v>
      </c>
      <c r="F817" s="6">
        <v>3895</v>
      </c>
      <c r="G817" t="s">
        <v>137</v>
      </c>
    </row>
    <row r="818" spans="1:7" x14ac:dyDescent="0.2">
      <c r="A818" s="5">
        <v>46235</v>
      </c>
      <c r="B818" t="s">
        <v>134</v>
      </c>
      <c r="C818" t="s">
        <v>114</v>
      </c>
      <c r="D818" t="s">
        <v>67</v>
      </c>
      <c r="F818" s="6">
        <v>52430</v>
      </c>
      <c r="G818" t="s">
        <v>137</v>
      </c>
    </row>
    <row r="819" spans="1:7" x14ac:dyDescent="0.2">
      <c r="A819" s="5">
        <v>46235</v>
      </c>
      <c r="B819" t="s">
        <v>134</v>
      </c>
      <c r="C819" t="s">
        <v>114</v>
      </c>
      <c r="D819" t="s">
        <v>71</v>
      </c>
      <c r="F819" s="6">
        <v>11535</v>
      </c>
      <c r="G819" t="s">
        <v>137</v>
      </c>
    </row>
    <row r="820" spans="1:7" x14ac:dyDescent="0.2">
      <c r="A820" s="5">
        <v>46235</v>
      </c>
      <c r="B820" t="s">
        <v>134</v>
      </c>
      <c r="C820" t="s">
        <v>114</v>
      </c>
      <c r="D820" t="s">
        <v>75</v>
      </c>
      <c r="F820" s="6">
        <v>5243</v>
      </c>
      <c r="G820" t="s">
        <v>137</v>
      </c>
    </row>
    <row r="821" spans="1:7" x14ac:dyDescent="0.2">
      <c r="A821" s="5">
        <v>46235</v>
      </c>
      <c r="B821" t="s">
        <v>134</v>
      </c>
      <c r="C821" t="s">
        <v>114</v>
      </c>
      <c r="D821" t="s">
        <v>76</v>
      </c>
      <c r="F821" s="6">
        <v>3146</v>
      </c>
      <c r="G821" t="s">
        <v>137</v>
      </c>
    </row>
    <row r="822" spans="1:7" x14ac:dyDescent="0.2">
      <c r="A822" s="5">
        <v>46235</v>
      </c>
      <c r="B822" t="s">
        <v>134</v>
      </c>
      <c r="C822" t="s">
        <v>114</v>
      </c>
      <c r="D822" t="s">
        <v>79</v>
      </c>
      <c r="F822" s="6">
        <v>2097</v>
      </c>
      <c r="G822" t="s">
        <v>137</v>
      </c>
    </row>
    <row r="823" spans="1:7" x14ac:dyDescent="0.2">
      <c r="A823" s="5">
        <v>46235</v>
      </c>
      <c r="B823" t="s">
        <v>134</v>
      </c>
      <c r="C823" t="s">
        <v>114</v>
      </c>
      <c r="D823" t="s">
        <v>87</v>
      </c>
      <c r="F823" s="6">
        <v>1573</v>
      </c>
      <c r="G823" t="s">
        <v>137</v>
      </c>
    </row>
    <row r="824" spans="1:7" x14ac:dyDescent="0.2">
      <c r="A824" s="5">
        <v>46235</v>
      </c>
      <c r="B824" t="s">
        <v>134</v>
      </c>
      <c r="C824" t="s">
        <v>114</v>
      </c>
      <c r="D824" t="s">
        <v>91</v>
      </c>
      <c r="F824" s="6">
        <v>1049</v>
      </c>
      <c r="G824" t="s">
        <v>137</v>
      </c>
    </row>
    <row r="825" spans="1:7" x14ac:dyDescent="0.2">
      <c r="A825" s="5">
        <v>46235</v>
      </c>
      <c r="B825" t="s">
        <v>134</v>
      </c>
      <c r="C825" t="s">
        <v>118</v>
      </c>
      <c r="D825" t="s">
        <v>67</v>
      </c>
      <c r="F825" s="6">
        <v>82390</v>
      </c>
      <c r="G825" t="s">
        <v>137</v>
      </c>
    </row>
    <row r="826" spans="1:7" x14ac:dyDescent="0.2">
      <c r="A826" s="5">
        <v>46235</v>
      </c>
      <c r="B826" t="s">
        <v>134</v>
      </c>
      <c r="C826" t="s">
        <v>118</v>
      </c>
      <c r="D826" t="s">
        <v>71</v>
      </c>
      <c r="F826" s="6">
        <v>18126</v>
      </c>
      <c r="G826" t="s">
        <v>137</v>
      </c>
    </row>
    <row r="827" spans="1:7" x14ac:dyDescent="0.2">
      <c r="A827" s="5">
        <v>46235</v>
      </c>
      <c r="B827" t="s">
        <v>134</v>
      </c>
      <c r="C827" t="s">
        <v>118</v>
      </c>
      <c r="D827" t="s">
        <v>75</v>
      </c>
      <c r="F827" s="6">
        <v>8239</v>
      </c>
      <c r="G827" t="s">
        <v>137</v>
      </c>
    </row>
    <row r="828" spans="1:7" x14ac:dyDescent="0.2">
      <c r="A828" s="5">
        <v>46235</v>
      </c>
      <c r="B828" t="s">
        <v>134</v>
      </c>
      <c r="C828" t="s">
        <v>118</v>
      </c>
      <c r="D828" t="s">
        <v>76</v>
      </c>
      <c r="F828" s="6">
        <v>4943</v>
      </c>
      <c r="G828" t="s">
        <v>137</v>
      </c>
    </row>
    <row r="829" spans="1:7" x14ac:dyDescent="0.2">
      <c r="A829" s="5">
        <v>46235</v>
      </c>
      <c r="B829" t="s">
        <v>134</v>
      </c>
      <c r="C829" t="s">
        <v>118</v>
      </c>
      <c r="D829" t="s">
        <v>79</v>
      </c>
      <c r="F829" s="6">
        <v>3296</v>
      </c>
      <c r="G829" t="s">
        <v>137</v>
      </c>
    </row>
    <row r="830" spans="1:7" x14ac:dyDescent="0.2">
      <c r="A830" s="5">
        <v>46235</v>
      </c>
      <c r="B830" t="s">
        <v>134</v>
      </c>
      <c r="C830" t="s">
        <v>118</v>
      </c>
      <c r="D830" t="s">
        <v>83</v>
      </c>
      <c r="F830" s="6">
        <v>47786</v>
      </c>
      <c r="G830" t="s">
        <v>137</v>
      </c>
    </row>
    <row r="831" spans="1:7" x14ac:dyDescent="0.2">
      <c r="A831" s="5">
        <v>46235</v>
      </c>
      <c r="B831" t="s">
        <v>134</v>
      </c>
      <c r="C831" t="s">
        <v>118</v>
      </c>
      <c r="D831" t="s">
        <v>85</v>
      </c>
      <c r="F831" s="6">
        <v>26365</v>
      </c>
      <c r="G831" t="s">
        <v>137</v>
      </c>
    </row>
    <row r="832" spans="1:7" x14ac:dyDescent="0.2">
      <c r="A832" s="5">
        <v>46235</v>
      </c>
      <c r="B832" t="s">
        <v>134</v>
      </c>
      <c r="C832" t="s">
        <v>118</v>
      </c>
      <c r="D832" t="s">
        <v>87</v>
      </c>
      <c r="F832" s="6">
        <v>2472</v>
      </c>
      <c r="G832" t="s">
        <v>137</v>
      </c>
    </row>
    <row r="833" spans="1:7" x14ac:dyDescent="0.2">
      <c r="A833" s="5">
        <v>46235</v>
      </c>
      <c r="B833" t="s">
        <v>134</v>
      </c>
      <c r="C833" t="s">
        <v>118</v>
      </c>
      <c r="D833" t="s">
        <v>91</v>
      </c>
      <c r="F833" s="6">
        <v>1648</v>
      </c>
      <c r="G833" t="s">
        <v>137</v>
      </c>
    </row>
    <row r="834" spans="1:7" x14ac:dyDescent="0.2">
      <c r="A834" s="5">
        <v>46266</v>
      </c>
      <c r="B834" t="s">
        <v>129</v>
      </c>
      <c r="C834" t="s">
        <v>122</v>
      </c>
      <c r="D834" t="s">
        <v>54</v>
      </c>
      <c r="E834" t="s">
        <v>130</v>
      </c>
      <c r="F834" s="6">
        <v>1980104</v>
      </c>
      <c r="G834" t="s">
        <v>137</v>
      </c>
    </row>
    <row r="835" spans="1:7" x14ac:dyDescent="0.2">
      <c r="A835" s="5">
        <v>46266</v>
      </c>
      <c r="B835" t="s">
        <v>129</v>
      </c>
      <c r="C835" t="s">
        <v>122</v>
      </c>
      <c r="D835" t="s">
        <v>54</v>
      </c>
      <c r="E835" t="s">
        <v>132</v>
      </c>
      <c r="F835" s="6">
        <v>1066210</v>
      </c>
      <c r="G835" t="s">
        <v>137</v>
      </c>
    </row>
    <row r="836" spans="1:7" x14ac:dyDescent="0.2">
      <c r="A836" s="5">
        <v>46266</v>
      </c>
      <c r="B836" t="s">
        <v>129</v>
      </c>
      <c r="C836" t="s">
        <v>122</v>
      </c>
      <c r="D836" t="s">
        <v>58</v>
      </c>
      <c r="E836" t="s">
        <v>133</v>
      </c>
      <c r="F836" s="6">
        <v>304631</v>
      </c>
      <c r="G836" t="s">
        <v>137</v>
      </c>
    </row>
    <row r="837" spans="1:7" x14ac:dyDescent="0.2">
      <c r="A837" s="5">
        <v>46266</v>
      </c>
      <c r="B837" t="s">
        <v>129</v>
      </c>
      <c r="C837" t="s">
        <v>97</v>
      </c>
      <c r="D837" t="s">
        <v>67</v>
      </c>
      <c r="F837" s="6">
        <v>356400</v>
      </c>
      <c r="G837" t="s">
        <v>137</v>
      </c>
    </row>
    <row r="838" spans="1:7" x14ac:dyDescent="0.2">
      <c r="A838" s="5">
        <v>46266</v>
      </c>
      <c r="B838" t="s">
        <v>129</v>
      </c>
      <c r="C838" t="s">
        <v>97</v>
      </c>
      <c r="D838" t="s">
        <v>71</v>
      </c>
      <c r="F838" s="6">
        <v>78408</v>
      </c>
      <c r="G838" t="s">
        <v>137</v>
      </c>
    </row>
    <row r="839" spans="1:7" x14ac:dyDescent="0.2">
      <c r="A839" s="5">
        <v>46266</v>
      </c>
      <c r="B839" t="s">
        <v>129</v>
      </c>
      <c r="C839" t="s">
        <v>97</v>
      </c>
      <c r="D839" t="s">
        <v>73</v>
      </c>
      <c r="F839" s="6">
        <v>124740</v>
      </c>
      <c r="G839" t="s">
        <v>137</v>
      </c>
    </row>
    <row r="840" spans="1:7" x14ac:dyDescent="0.2">
      <c r="A840" s="5">
        <v>46266</v>
      </c>
      <c r="B840" t="s">
        <v>129</v>
      </c>
      <c r="C840" t="s">
        <v>97</v>
      </c>
      <c r="D840" t="s">
        <v>75</v>
      </c>
      <c r="F840" s="6">
        <v>35640</v>
      </c>
      <c r="G840" t="s">
        <v>137</v>
      </c>
    </row>
    <row r="841" spans="1:7" x14ac:dyDescent="0.2">
      <c r="A841" s="5">
        <v>46266</v>
      </c>
      <c r="B841" t="s">
        <v>129</v>
      </c>
      <c r="C841" t="s">
        <v>97</v>
      </c>
      <c r="D841" t="s">
        <v>76</v>
      </c>
      <c r="F841" s="6">
        <v>21384</v>
      </c>
      <c r="G841" t="s">
        <v>137</v>
      </c>
    </row>
    <row r="842" spans="1:7" x14ac:dyDescent="0.2">
      <c r="A842" s="5">
        <v>46266</v>
      </c>
      <c r="B842" t="s">
        <v>129</v>
      </c>
      <c r="C842" t="s">
        <v>97</v>
      </c>
      <c r="D842" t="s">
        <v>79</v>
      </c>
      <c r="F842" s="6">
        <v>28512</v>
      </c>
      <c r="G842" t="s">
        <v>137</v>
      </c>
    </row>
    <row r="843" spans="1:7" x14ac:dyDescent="0.2">
      <c r="A843" s="5">
        <v>46266</v>
      </c>
      <c r="B843" t="s">
        <v>129</v>
      </c>
      <c r="C843" t="s">
        <v>97</v>
      </c>
      <c r="D843" t="s">
        <v>87</v>
      </c>
      <c r="F843" s="6">
        <v>10692</v>
      </c>
      <c r="G843" t="s">
        <v>137</v>
      </c>
    </row>
    <row r="844" spans="1:7" x14ac:dyDescent="0.2">
      <c r="A844" s="5">
        <v>46266</v>
      </c>
      <c r="B844" t="s">
        <v>129</v>
      </c>
      <c r="C844" t="s">
        <v>97</v>
      </c>
      <c r="D844" t="s">
        <v>91</v>
      </c>
      <c r="F844" s="6">
        <v>7128</v>
      </c>
      <c r="G844" t="s">
        <v>137</v>
      </c>
    </row>
    <row r="845" spans="1:7" x14ac:dyDescent="0.2">
      <c r="A845" s="5">
        <v>46266</v>
      </c>
      <c r="B845" t="s">
        <v>129</v>
      </c>
      <c r="C845" t="s">
        <v>102</v>
      </c>
      <c r="D845" t="s">
        <v>67</v>
      </c>
      <c r="F845" s="6">
        <v>162000</v>
      </c>
      <c r="G845" t="s">
        <v>137</v>
      </c>
    </row>
    <row r="846" spans="1:7" x14ac:dyDescent="0.2">
      <c r="A846" s="5">
        <v>46266</v>
      </c>
      <c r="B846" t="s">
        <v>129</v>
      </c>
      <c r="C846" t="s">
        <v>102</v>
      </c>
      <c r="D846" t="s">
        <v>71</v>
      </c>
      <c r="F846" s="6">
        <v>35640</v>
      </c>
      <c r="G846" t="s">
        <v>137</v>
      </c>
    </row>
    <row r="847" spans="1:7" x14ac:dyDescent="0.2">
      <c r="A847" s="5">
        <v>46266</v>
      </c>
      <c r="B847" t="s">
        <v>129</v>
      </c>
      <c r="C847" t="s">
        <v>102</v>
      </c>
      <c r="D847" t="s">
        <v>75</v>
      </c>
      <c r="F847" s="6">
        <v>16200</v>
      </c>
      <c r="G847" t="s">
        <v>137</v>
      </c>
    </row>
    <row r="848" spans="1:7" x14ac:dyDescent="0.2">
      <c r="A848" s="5">
        <v>46266</v>
      </c>
      <c r="B848" t="s">
        <v>129</v>
      </c>
      <c r="C848" t="s">
        <v>102</v>
      </c>
      <c r="D848" t="s">
        <v>76</v>
      </c>
      <c r="F848" s="6">
        <v>9720</v>
      </c>
      <c r="G848" t="s">
        <v>137</v>
      </c>
    </row>
    <row r="849" spans="1:7" x14ac:dyDescent="0.2">
      <c r="A849" s="5">
        <v>46266</v>
      </c>
      <c r="B849" t="s">
        <v>129</v>
      </c>
      <c r="C849" t="s">
        <v>102</v>
      </c>
      <c r="D849" t="s">
        <v>79</v>
      </c>
      <c r="F849" s="6">
        <v>12960</v>
      </c>
      <c r="G849" t="s">
        <v>137</v>
      </c>
    </row>
    <row r="850" spans="1:7" x14ac:dyDescent="0.2">
      <c r="A850" s="5">
        <v>46266</v>
      </c>
      <c r="B850" t="s">
        <v>129</v>
      </c>
      <c r="C850" t="s">
        <v>102</v>
      </c>
      <c r="D850" t="s">
        <v>81</v>
      </c>
      <c r="F850" s="6">
        <v>218700</v>
      </c>
      <c r="G850" t="s">
        <v>137</v>
      </c>
    </row>
    <row r="851" spans="1:7" x14ac:dyDescent="0.2">
      <c r="A851" s="5">
        <v>46266</v>
      </c>
      <c r="B851" t="s">
        <v>129</v>
      </c>
      <c r="C851" t="s">
        <v>102</v>
      </c>
      <c r="D851" t="s">
        <v>87</v>
      </c>
      <c r="F851" s="6">
        <v>4860</v>
      </c>
      <c r="G851" t="s">
        <v>137</v>
      </c>
    </row>
    <row r="852" spans="1:7" x14ac:dyDescent="0.2">
      <c r="A852" s="5">
        <v>46266</v>
      </c>
      <c r="B852" t="s">
        <v>129</v>
      </c>
      <c r="C852" t="s">
        <v>102</v>
      </c>
      <c r="D852" t="s">
        <v>91</v>
      </c>
      <c r="F852" s="6">
        <v>3240</v>
      </c>
      <c r="G852" t="s">
        <v>137</v>
      </c>
    </row>
    <row r="853" spans="1:7" x14ac:dyDescent="0.2">
      <c r="A853" s="5">
        <v>46266</v>
      </c>
      <c r="B853" t="s">
        <v>129</v>
      </c>
      <c r="C853" t="s">
        <v>106</v>
      </c>
      <c r="D853" t="s">
        <v>65</v>
      </c>
      <c r="F853" s="6">
        <v>73440</v>
      </c>
      <c r="G853" t="s">
        <v>137</v>
      </c>
    </row>
    <row r="854" spans="1:7" x14ac:dyDescent="0.2">
      <c r="A854" s="5">
        <v>46266</v>
      </c>
      <c r="B854" t="s">
        <v>129</v>
      </c>
      <c r="C854" t="s">
        <v>106</v>
      </c>
      <c r="D854" t="s">
        <v>67</v>
      </c>
      <c r="F854" s="6">
        <v>183600</v>
      </c>
      <c r="G854" t="s">
        <v>137</v>
      </c>
    </row>
    <row r="855" spans="1:7" x14ac:dyDescent="0.2">
      <c r="A855" s="5">
        <v>46266</v>
      </c>
      <c r="B855" t="s">
        <v>129</v>
      </c>
      <c r="C855" t="s">
        <v>106</v>
      </c>
      <c r="D855" t="s">
        <v>71</v>
      </c>
      <c r="F855" s="6">
        <v>40392</v>
      </c>
      <c r="G855" t="s">
        <v>137</v>
      </c>
    </row>
    <row r="856" spans="1:7" x14ac:dyDescent="0.2">
      <c r="A856" s="5">
        <v>46266</v>
      </c>
      <c r="B856" t="s">
        <v>129</v>
      </c>
      <c r="C856" t="s">
        <v>106</v>
      </c>
      <c r="D856" t="s">
        <v>75</v>
      </c>
      <c r="F856" s="6">
        <v>18360</v>
      </c>
      <c r="G856" t="s">
        <v>137</v>
      </c>
    </row>
    <row r="857" spans="1:7" x14ac:dyDescent="0.2">
      <c r="A857" s="5">
        <v>46266</v>
      </c>
      <c r="B857" t="s">
        <v>129</v>
      </c>
      <c r="C857" t="s">
        <v>106</v>
      </c>
      <c r="D857" t="s">
        <v>76</v>
      </c>
      <c r="F857" s="6">
        <v>11016</v>
      </c>
      <c r="G857" t="s">
        <v>137</v>
      </c>
    </row>
    <row r="858" spans="1:7" x14ac:dyDescent="0.2">
      <c r="A858" s="5">
        <v>46266</v>
      </c>
      <c r="B858" t="s">
        <v>129</v>
      </c>
      <c r="C858" t="s">
        <v>106</v>
      </c>
      <c r="D858" t="s">
        <v>79</v>
      </c>
      <c r="F858" s="6">
        <v>7344</v>
      </c>
      <c r="G858" t="s">
        <v>137</v>
      </c>
    </row>
    <row r="859" spans="1:7" x14ac:dyDescent="0.2">
      <c r="A859" s="5">
        <v>46266</v>
      </c>
      <c r="B859" t="s">
        <v>129</v>
      </c>
      <c r="C859" t="s">
        <v>106</v>
      </c>
      <c r="D859" t="s">
        <v>87</v>
      </c>
      <c r="F859" s="6">
        <v>5508</v>
      </c>
      <c r="G859" t="s">
        <v>137</v>
      </c>
    </row>
    <row r="860" spans="1:7" x14ac:dyDescent="0.2">
      <c r="A860" s="5">
        <v>46266</v>
      </c>
      <c r="B860" t="s">
        <v>129</v>
      </c>
      <c r="C860" t="s">
        <v>106</v>
      </c>
      <c r="D860" t="s">
        <v>91</v>
      </c>
      <c r="F860" s="6">
        <v>3672</v>
      </c>
      <c r="G860" t="s">
        <v>137</v>
      </c>
    </row>
    <row r="861" spans="1:7" x14ac:dyDescent="0.2">
      <c r="A861" s="5">
        <v>46266</v>
      </c>
      <c r="B861" t="s">
        <v>129</v>
      </c>
      <c r="C861" t="s">
        <v>110</v>
      </c>
      <c r="D861" t="s">
        <v>61</v>
      </c>
      <c r="F861" s="6">
        <v>561600</v>
      </c>
      <c r="G861" t="s">
        <v>137</v>
      </c>
    </row>
    <row r="862" spans="1:7" x14ac:dyDescent="0.2">
      <c r="A862" s="5">
        <v>46266</v>
      </c>
      <c r="B862" t="s">
        <v>129</v>
      </c>
      <c r="C862" t="s">
        <v>110</v>
      </c>
      <c r="D862" t="s">
        <v>67</v>
      </c>
      <c r="F862" s="6">
        <v>561600</v>
      </c>
      <c r="G862" t="s">
        <v>137</v>
      </c>
    </row>
    <row r="863" spans="1:7" x14ac:dyDescent="0.2">
      <c r="A863" s="5">
        <v>46266</v>
      </c>
      <c r="B863" t="s">
        <v>129</v>
      </c>
      <c r="C863" t="s">
        <v>110</v>
      </c>
      <c r="D863" t="s">
        <v>71</v>
      </c>
      <c r="F863" s="6">
        <v>123552</v>
      </c>
      <c r="G863" t="s">
        <v>137</v>
      </c>
    </row>
    <row r="864" spans="1:7" x14ac:dyDescent="0.2">
      <c r="A864" s="5">
        <v>46266</v>
      </c>
      <c r="B864" t="s">
        <v>129</v>
      </c>
      <c r="C864" t="s">
        <v>110</v>
      </c>
      <c r="D864" t="s">
        <v>75</v>
      </c>
      <c r="F864" s="6">
        <v>56160</v>
      </c>
      <c r="G864" t="s">
        <v>137</v>
      </c>
    </row>
    <row r="865" spans="1:7" x14ac:dyDescent="0.2">
      <c r="A865" s="5">
        <v>46266</v>
      </c>
      <c r="B865" t="s">
        <v>129</v>
      </c>
      <c r="C865" t="s">
        <v>110</v>
      </c>
      <c r="D865" t="s">
        <v>76</v>
      </c>
      <c r="F865" s="6">
        <v>33696</v>
      </c>
      <c r="G865" t="s">
        <v>137</v>
      </c>
    </row>
    <row r="866" spans="1:7" x14ac:dyDescent="0.2">
      <c r="A866" s="5">
        <v>46266</v>
      </c>
      <c r="B866" t="s">
        <v>129</v>
      </c>
      <c r="C866" t="s">
        <v>110</v>
      </c>
      <c r="D866" t="s">
        <v>79</v>
      </c>
      <c r="F866" s="6">
        <v>22464</v>
      </c>
      <c r="G866" t="s">
        <v>137</v>
      </c>
    </row>
    <row r="867" spans="1:7" x14ac:dyDescent="0.2">
      <c r="A867" s="5">
        <v>46266</v>
      </c>
      <c r="B867" t="s">
        <v>129</v>
      </c>
      <c r="C867" t="s">
        <v>110</v>
      </c>
      <c r="D867" t="s">
        <v>87</v>
      </c>
      <c r="F867" s="6">
        <v>16848</v>
      </c>
      <c r="G867" t="s">
        <v>137</v>
      </c>
    </row>
    <row r="868" spans="1:7" x14ac:dyDescent="0.2">
      <c r="A868" s="5">
        <v>46266</v>
      </c>
      <c r="B868" t="s">
        <v>129</v>
      </c>
      <c r="C868" t="s">
        <v>110</v>
      </c>
      <c r="D868" t="s">
        <v>89</v>
      </c>
      <c r="F868" s="6">
        <v>95472</v>
      </c>
      <c r="G868" t="s">
        <v>137</v>
      </c>
    </row>
    <row r="869" spans="1:7" x14ac:dyDescent="0.2">
      <c r="A869" s="5">
        <v>46266</v>
      </c>
      <c r="B869" t="s">
        <v>129</v>
      </c>
      <c r="C869" t="s">
        <v>110</v>
      </c>
      <c r="D869" t="s">
        <v>91</v>
      </c>
      <c r="F869" s="6">
        <v>11232</v>
      </c>
      <c r="G869" t="s">
        <v>137</v>
      </c>
    </row>
    <row r="870" spans="1:7" x14ac:dyDescent="0.2">
      <c r="A870" s="5">
        <v>46266</v>
      </c>
      <c r="B870" t="s">
        <v>129</v>
      </c>
      <c r="C870" t="s">
        <v>114</v>
      </c>
      <c r="D870" t="s">
        <v>67</v>
      </c>
      <c r="F870" s="6">
        <v>151200</v>
      </c>
      <c r="G870" t="s">
        <v>137</v>
      </c>
    </row>
    <row r="871" spans="1:7" x14ac:dyDescent="0.2">
      <c r="A871" s="5">
        <v>46266</v>
      </c>
      <c r="B871" t="s">
        <v>129</v>
      </c>
      <c r="C871" t="s">
        <v>114</v>
      </c>
      <c r="D871" t="s">
        <v>71</v>
      </c>
      <c r="F871" s="6">
        <v>33264</v>
      </c>
      <c r="G871" t="s">
        <v>137</v>
      </c>
    </row>
    <row r="872" spans="1:7" x14ac:dyDescent="0.2">
      <c r="A872" s="5">
        <v>46266</v>
      </c>
      <c r="B872" t="s">
        <v>129</v>
      </c>
      <c r="C872" t="s">
        <v>114</v>
      </c>
      <c r="D872" t="s">
        <v>75</v>
      </c>
      <c r="F872" s="6">
        <v>15120</v>
      </c>
      <c r="G872" t="s">
        <v>137</v>
      </c>
    </row>
    <row r="873" spans="1:7" x14ac:dyDescent="0.2">
      <c r="A873" s="5">
        <v>46266</v>
      </c>
      <c r="B873" t="s">
        <v>129</v>
      </c>
      <c r="C873" t="s">
        <v>114</v>
      </c>
      <c r="D873" t="s">
        <v>76</v>
      </c>
      <c r="F873" s="6">
        <v>9072</v>
      </c>
      <c r="G873" t="s">
        <v>137</v>
      </c>
    </row>
    <row r="874" spans="1:7" x14ac:dyDescent="0.2">
      <c r="A874" s="5">
        <v>46266</v>
      </c>
      <c r="B874" t="s">
        <v>129</v>
      </c>
      <c r="C874" t="s">
        <v>114</v>
      </c>
      <c r="D874" t="s">
        <v>79</v>
      </c>
      <c r="F874" s="6">
        <v>6048</v>
      </c>
      <c r="G874" t="s">
        <v>137</v>
      </c>
    </row>
    <row r="875" spans="1:7" x14ac:dyDescent="0.2">
      <c r="A875" s="5">
        <v>46266</v>
      </c>
      <c r="B875" t="s">
        <v>129</v>
      </c>
      <c r="C875" t="s">
        <v>114</v>
      </c>
      <c r="D875" t="s">
        <v>87</v>
      </c>
      <c r="F875" s="6">
        <v>4536</v>
      </c>
      <c r="G875" t="s">
        <v>137</v>
      </c>
    </row>
    <row r="876" spans="1:7" x14ac:dyDescent="0.2">
      <c r="A876" s="5">
        <v>46266</v>
      </c>
      <c r="B876" t="s">
        <v>129</v>
      </c>
      <c r="C876" t="s">
        <v>114</v>
      </c>
      <c r="D876" t="s">
        <v>91</v>
      </c>
      <c r="F876" s="6">
        <v>3024</v>
      </c>
      <c r="G876" t="s">
        <v>137</v>
      </c>
    </row>
    <row r="877" spans="1:7" x14ac:dyDescent="0.2">
      <c r="A877" s="5">
        <v>46266</v>
      </c>
      <c r="B877" t="s">
        <v>129</v>
      </c>
      <c r="C877" t="s">
        <v>118</v>
      </c>
      <c r="D877" t="s">
        <v>67</v>
      </c>
      <c r="F877" s="6">
        <v>237600</v>
      </c>
      <c r="G877" t="s">
        <v>137</v>
      </c>
    </row>
    <row r="878" spans="1:7" x14ac:dyDescent="0.2">
      <c r="A878" s="5">
        <v>46266</v>
      </c>
      <c r="B878" t="s">
        <v>129</v>
      </c>
      <c r="C878" t="s">
        <v>118</v>
      </c>
      <c r="D878" t="s">
        <v>71</v>
      </c>
      <c r="F878" s="6">
        <v>52272</v>
      </c>
      <c r="G878" t="s">
        <v>137</v>
      </c>
    </row>
    <row r="879" spans="1:7" x14ac:dyDescent="0.2">
      <c r="A879" s="5">
        <v>46266</v>
      </c>
      <c r="B879" t="s">
        <v>129</v>
      </c>
      <c r="C879" t="s">
        <v>118</v>
      </c>
      <c r="D879" t="s">
        <v>75</v>
      </c>
      <c r="F879" s="6">
        <v>23760</v>
      </c>
      <c r="G879" t="s">
        <v>137</v>
      </c>
    </row>
    <row r="880" spans="1:7" x14ac:dyDescent="0.2">
      <c r="A880" s="5">
        <v>46266</v>
      </c>
      <c r="B880" t="s">
        <v>129</v>
      </c>
      <c r="C880" t="s">
        <v>118</v>
      </c>
      <c r="D880" t="s">
        <v>76</v>
      </c>
      <c r="F880" s="6">
        <v>14256</v>
      </c>
      <c r="G880" t="s">
        <v>137</v>
      </c>
    </row>
    <row r="881" spans="1:7" x14ac:dyDescent="0.2">
      <c r="A881" s="5">
        <v>46266</v>
      </c>
      <c r="B881" t="s">
        <v>129</v>
      </c>
      <c r="C881" t="s">
        <v>118</v>
      </c>
      <c r="D881" t="s">
        <v>79</v>
      </c>
      <c r="F881" s="6">
        <v>9504</v>
      </c>
      <c r="G881" t="s">
        <v>137</v>
      </c>
    </row>
    <row r="882" spans="1:7" x14ac:dyDescent="0.2">
      <c r="A882" s="5">
        <v>46266</v>
      </c>
      <c r="B882" t="s">
        <v>129</v>
      </c>
      <c r="C882" t="s">
        <v>118</v>
      </c>
      <c r="D882" t="s">
        <v>83</v>
      </c>
      <c r="F882" s="6">
        <v>137808</v>
      </c>
      <c r="G882" t="s">
        <v>137</v>
      </c>
    </row>
    <row r="883" spans="1:7" x14ac:dyDescent="0.2">
      <c r="A883" s="5">
        <v>46266</v>
      </c>
      <c r="B883" t="s">
        <v>129</v>
      </c>
      <c r="C883" t="s">
        <v>118</v>
      </c>
      <c r="D883" t="s">
        <v>85</v>
      </c>
      <c r="F883" s="6">
        <v>76032</v>
      </c>
      <c r="G883" t="s">
        <v>137</v>
      </c>
    </row>
    <row r="884" spans="1:7" x14ac:dyDescent="0.2">
      <c r="A884" s="5">
        <v>46266</v>
      </c>
      <c r="B884" t="s">
        <v>129</v>
      </c>
      <c r="C884" t="s">
        <v>118</v>
      </c>
      <c r="D884" t="s">
        <v>87</v>
      </c>
      <c r="F884" s="6">
        <v>7128</v>
      </c>
      <c r="G884" t="s">
        <v>137</v>
      </c>
    </row>
    <row r="885" spans="1:7" x14ac:dyDescent="0.2">
      <c r="A885" s="5">
        <v>46266</v>
      </c>
      <c r="B885" t="s">
        <v>129</v>
      </c>
      <c r="C885" t="s">
        <v>118</v>
      </c>
      <c r="D885" t="s">
        <v>91</v>
      </c>
      <c r="F885" s="6">
        <v>4752</v>
      </c>
      <c r="G885" t="s">
        <v>137</v>
      </c>
    </row>
    <row r="886" spans="1:7" x14ac:dyDescent="0.2">
      <c r="A886" s="5">
        <v>46266</v>
      </c>
      <c r="B886" t="s">
        <v>134</v>
      </c>
      <c r="C886" t="s">
        <v>122</v>
      </c>
      <c r="D886" t="s">
        <v>54</v>
      </c>
      <c r="E886" t="s">
        <v>130</v>
      </c>
      <c r="F886" s="6">
        <v>693037</v>
      </c>
      <c r="G886" t="s">
        <v>137</v>
      </c>
    </row>
    <row r="887" spans="1:7" x14ac:dyDescent="0.2">
      <c r="A887" s="5">
        <v>46266</v>
      </c>
      <c r="B887" t="s">
        <v>134</v>
      </c>
      <c r="C887" t="s">
        <v>122</v>
      </c>
      <c r="D887" t="s">
        <v>54</v>
      </c>
      <c r="E887" t="s">
        <v>132</v>
      </c>
      <c r="F887" s="6">
        <v>373174</v>
      </c>
      <c r="G887" t="s">
        <v>137</v>
      </c>
    </row>
    <row r="888" spans="1:7" x14ac:dyDescent="0.2">
      <c r="A888" s="5">
        <v>46266</v>
      </c>
      <c r="B888" t="s">
        <v>134</v>
      </c>
      <c r="C888" t="s">
        <v>122</v>
      </c>
      <c r="D888" t="s">
        <v>58</v>
      </c>
      <c r="E888" t="s">
        <v>133</v>
      </c>
      <c r="F888" s="6">
        <v>106621</v>
      </c>
      <c r="G888" t="s">
        <v>137</v>
      </c>
    </row>
    <row r="889" spans="1:7" x14ac:dyDescent="0.2">
      <c r="A889" s="5">
        <v>46266</v>
      </c>
      <c r="B889" t="s">
        <v>134</v>
      </c>
      <c r="C889" t="s">
        <v>97</v>
      </c>
      <c r="D889" t="s">
        <v>67</v>
      </c>
      <c r="F889" s="6">
        <v>124740</v>
      </c>
      <c r="G889" t="s">
        <v>137</v>
      </c>
    </row>
    <row r="890" spans="1:7" x14ac:dyDescent="0.2">
      <c r="A890" s="5">
        <v>46266</v>
      </c>
      <c r="B890" t="s">
        <v>134</v>
      </c>
      <c r="C890" t="s">
        <v>97</v>
      </c>
      <c r="D890" t="s">
        <v>71</v>
      </c>
      <c r="F890" s="6">
        <v>27443</v>
      </c>
      <c r="G890" t="s">
        <v>137</v>
      </c>
    </row>
    <row r="891" spans="1:7" x14ac:dyDescent="0.2">
      <c r="A891" s="5">
        <v>46266</v>
      </c>
      <c r="B891" t="s">
        <v>134</v>
      </c>
      <c r="C891" t="s">
        <v>97</v>
      </c>
      <c r="D891" t="s">
        <v>73</v>
      </c>
      <c r="F891" s="6">
        <v>43659</v>
      </c>
      <c r="G891" t="s">
        <v>137</v>
      </c>
    </row>
    <row r="892" spans="1:7" x14ac:dyDescent="0.2">
      <c r="A892" s="5">
        <v>46266</v>
      </c>
      <c r="B892" t="s">
        <v>134</v>
      </c>
      <c r="C892" t="s">
        <v>97</v>
      </c>
      <c r="D892" t="s">
        <v>75</v>
      </c>
      <c r="F892" s="6">
        <v>12474</v>
      </c>
      <c r="G892" t="s">
        <v>137</v>
      </c>
    </row>
    <row r="893" spans="1:7" x14ac:dyDescent="0.2">
      <c r="A893" s="5">
        <v>46266</v>
      </c>
      <c r="B893" t="s">
        <v>134</v>
      </c>
      <c r="C893" t="s">
        <v>97</v>
      </c>
      <c r="D893" t="s">
        <v>76</v>
      </c>
      <c r="F893" s="6">
        <v>7484</v>
      </c>
      <c r="G893" t="s">
        <v>137</v>
      </c>
    </row>
    <row r="894" spans="1:7" x14ac:dyDescent="0.2">
      <c r="A894" s="5">
        <v>46266</v>
      </c>
      <c r="B894" t="s">
        <v>134</v>
      </c>
      <c r="C894" t="s">
        <v>97</v>
      </c>
      <c r="D894" t="s">
        <v>79</v>
      </c>
      <c r="F894" s="6">
        <v>9979</v>
      </c>
      <c r="G894" t="s">
        <v>137</v>
      </c>
    </row>
    <row r="895" spans="1:7" x14ac:dyDescent="0.2">
      <c r="A895" s="5">
        <v>46266</v>
      </c>
      <c r="B895" t="s">
        <v>134</v>
      </c>
      <c r="C895" t="s">
        <v>97</v>
      </c>
      <c r="D895" t="s">
        <v>87</v>
      </c>
      <c r="F895" s="6">
        <v>3742</v>
      </c>
      <c r="G895" t="s">
        <v>137</v>
      </c>
    </row>
    <row r="896" spans="1:7" x14ac:dyDescent="0.2">
      <c r="A896" s="5">
        <v>46266</v>
      </c>
      <c r="B896" t="s">
        <v>134</v>
      </c>
      <c r="C896" t="s">
        <v>97</v>
      </c>
      <c r="D896" t="s">
        <v>91</v>
      </c>
      <c r="F896" s="6">
        <v>2495</v>
      </c>
      <c r="G896" t="s">
        <v>137</v>
      </c>
    </row>
    <row r="897" spans="1:7" x14ac:dyDescent="0.2">
      <c r="A897" s="5">
        <v>46266</v>
      </c>
      <c r="B897" t="s">
        <v>134</v>
      </c>
      <c r="C897" t="s">
        <v>102</v>
      </c>
      <c r="D897" t="s">
        <v>67</v>
      </c>
      <c r="F897" s="6">
        <v>56700</v>
      </c>
      <c r="G897" t="s">
        <v>137</v>
      </c>
    </row>
    <row r="898" spans="1:7" x14ac:dyDescent="0.2">
      <c r="A898" s="5">
        <v>46266</v>
      </c>
      <c r="B898" t="s">
        <v>134</v>
      </c>
      <c r="C898" t="s">
        <v>102</v>
      </c>
      <c r="D898" t="s">
        <v>71</v>
      </c>
      <c r="F898" s="6">
        <v>12474</v>
      </c>
      <c r="G898" t="s">
        <v>137</v>
      </c>
    </row>
    <row r="899" spans="1:7" x14ac:dyDescent="0.2">
      <c r="A899" s="5">
        <v>46266</v>
      </c>
      <c r="B899" t="s">
        <v>134</v>
      </c>
      <c r="C899" t="s">
        <v>102</v>
      </c>
      <c r="D899" t="s">
        <v>75</v>
      </c>
      <c r="F899" s="6">
        <v>5670</v>
      </c>
      <c r="G899" t="s">
        <v>137</v>
      </c>
    </row>
    <row r="900" spans="1:7" x14ac:dyDescent="0.2">
      <c r="A900" s="5">
        <v>46266</v>
      </c>
      <c r="B900" t="s">
        <v>134</v>
      </c>
      <c r="C900" t="s">
        <v>102</v>
      </c>
      <c r="D900" t="s">
        <v>76</v>
      </c>
      <c r="F900" s="6">
        <v>3402</v>
      </c>
      <c r="G900" t="s">
        <v>137</v>
      </c>
    </row>
    <row r="901" spans="1:7" x14ac:dyDescent="0.2">
      <c r="A901" s="5">
        <v>46266</v>
      </c>
      <c r="B901" t="s">
        <v>134</v>
      </c>
      <c r="C901" t="s">
        <v>102</v>
      </c>
      <c r="D901" t="s">
        <v>79</v>
      </c>
      <c r="F901" s="6">
        <v>4536</v>
      </c>
      <c r="G901" t="s">
        <v>137</v>
      </c>
    </row>
    <row r="902" spans="1:7" x14ac:dyDescent="0.2">
      <c r="A902" s="5">
        <v>46266</v>
      </c>
      <c r="B902" t="s">
        <v>134</v>
      </c>
      <c r="C902" t="s">
        <v>102</v>
      </c>
      <c r="D902" t="s">
        <v>81</v>
      </c>
      <c r="F902" s="6">
        <v>76545</v>
      </c>
      <c r="G902" t="s">
        <v>137</v>
      </c>
    </row>
    <row r="903" spans="1:7" x14ac:dyDescent="0.2">
      <c r="A903" s="5">
        <v>46266</v>
      </c>
      <c r="B903" t="s">
        <v>134</v>
      </c>
      <c r="C903" t="s">
        <v>102</v>
      </c>
      <c r="D903" t="s">
        <v>87</v>
      </c>
      <c r="F903" s="6">
        <v>1701</v>
      </c>
      <c r="G903" t="s">
        <v>137</v>
      </c>
    </row>
    <row r="904" spans="1:7" x14ac:dyDescent="0.2">
      <c r="A904" s="5">
        <v>46266</v>
      </c>
      <c r="B904" t="s">
        <v>134</v>
      </c>
      <c r="C904" t="s">
        <v>102</v>
      </c>
      <c r="D904" t="s">
        <v>91</v>
      </c>
      <c r="F904" s="6">
        <v>1134</v>
      </c>
      <c r="G904" t="s">
        <v>137</v>
      </c>
    </row>
    <row r="905" spans="1:7" x14ac:dyDescent="0.2">
      <c r="A905" s="5">
        <v>46266</v>
      </c>
      <c r="B905" t="s">
        <v>134</v>
      </c>
      <c r="C905" t="s">
        <v>106</v>
      </c>
      <c r="D905" t="s">
        <v>65</v>
      </c>
      <c r="F905" s="6">
        <v>25704</v>
      </c>
      <c r="G905" t="s">
        <v>137</v>
      </c>
    </row>
    <row r="906" spans="1:7" x14ac:dyDescent="0.2">
      <c r="A906" s="5">
        <v>46266</v>
      </c>
      <c r="B906" t="s">
        <v>134</v>
      </c>
      <c r="C906" t="s">
        <v>106</v>
      </c>
      <c r="D906" t="s">
        <v>67</v>
      </c>
      <c r="F906" s="6">
        <v>64260</v>
      </c>
      <c r="G906" t="s">
        <v>137</v>
      </c>
    </row>
    <row r="907" spans="1:7" x14ac:dyDescent="0.2">
      <c r="A907" s="5">
        <v>46266</v>
      </c>
      <c r="B907" t="s">
        <v>134</v>
      </c>
      <c r="C907" t="s">
        <v>106</v>
      </c>
      <c r="D907" t="s">
        <v>71</v>
      </c>
      <c r="F907" s="6">
        <v>14137</v>
      </c>
      <c r="G907" t="s">
        <v>137</v>
      </c>
    </row>
    <row r="908" spans="1:7" x14ac:dyDescent="0.2">
      <c r="A908" s="5">
        <v>46266</v>
      </c>
      <c r="B908" t="s">
        <v>134</v>
      </c>
      <c r="C908" t="s">
        <v>106</v>
      </c>
      <c r="D908" t="s">
        <v>75</v>
      </c>
      <c r="F908" s="6">
        <v>6426</v>
      </c>
      <c r="G908" t="s">
        <v>137</v>
      </c>
    </row>
    <row r="909" spans="1:7" x14ac:dyDescent="0.2">
      <c r="A909" s="5">
        <v>46266</v>
      </c>
      <c r="B909" t="s">
        <v>134</v>
      </c>
      <c r="C909" t="s">
        <v>106</v>
      </c>
      <c r="D909" t="s">
        <v>76</v>
      </c>
      <c r="F909" s="6">
        <v>3856</v>
      </c>
      <c r="G909" t="s">
        <v>137</v>
      </c>
    </row>
    <row r="910" spans="1:7" x14ac:dyDescent="0.2">
      <c r="A910" s="5">
        <v>46266</v>
      </c>
      <c r="B910" t="s">
        <v>134</v>
      </c>
      <c r="C910" t="s">
        <v>106</v>
      </c>
      <c r="D910" t="s">
        <v>79</v>
      </c>
      <c r="F910" s="6">
        <v>2570</v>
      </c>
      <c r="G910" t="s">
        <v>137</v>
      </c>
    </row>
    <row r="911" spans="1:7" x14ac:dyDescent="0.2">
      <c r="A911" s="5">
        <v>46266</v>
      </c>
      <c r="B911" t="s">
        <v>134</v>
      </c>
      <c r="C911" t="s">
        <v>106</v>
      </c>
      <c r="D911" t="s">
        <v>87</v>
      </c>
      <c r="F911" s="6">
        <v>1928</v>
      </c>
      <c r="G911" t="s">
        <v>137</v>
      </c>
    </row>
    <row r="912" spans="1:7" x14ac:dyDescent="0.2">
      <c r="A912" s="5">
        <v>46266</v>
      </c>
      <c r="B912" t="s">
        <v>134</v>
      </c>
      <c r="C912" t="s">
        <v>106</v>
      </c>
      <c r="D912" t="s">
        <v>91</v>
      </c>
      <c r="F912" s="6">
        <v>1285</v>
      </c>
      <c r="G912" t="s">
        <v>137</v>
      </c>
    </row>
    <row r="913" spans="1:7" x14ac:dyDescent="0.2">
      <c r="A913" s="5">
        <v>46266</v>
      </c>
      <c r="B913" t="s">
        <v>134</v>
      </c>
      <c r="C913" t="s">
        <v>110</v>
      </c>
      <c r="D913" t="s">
        <v>61</v>
      </c>
      <c r="F913" s="6">
        <v>196560</v>
      </c>
      <c r="G913" t="s">
        <v>137</v>
      </c>
    </row>
    <row r="914" spans="1:7" x14ac:dyDescent="0.2">
      <c r="A914" s="5">
        <v>46266</v>
      </c>
      <c r="B914" t="s">
        <v>134</v>
      </c>
      <c r="C914" t="s">
        <v>110</v>
      </c>
      <c r="D914" t="s">
        <v>67</v>
      </c>
      <c r="F914" s="6">
        <v>196560</v>
      </c>
      <c r="G914" t="s">
        <v>137</v>
      </c>
    </row>
    <row r="915" spans="1:7" x14ac:dyDescent="0.2">
      <c r="A915" s="5">
        <v>46266</v>
      </c>
      <c r="B915" t="s">
        <v>134</v>
      </c>
      <c r="C915" t="s">
        <v>110</v>
      </c>
      <c r="D915" t="s">
        <v>71</v>
      </c>
      <c r="F915" s="6">
        <v>43243</v>
      </c>
      <c r="G915" t="s">
        <v>137</v>
      </c>
    </row>
    <row r="916" spans="1:7" x14ac:dyDescent="0.2">
      <c r="A916" s="5">
        <v>46266</v>
      </c>
      <c r="B916" t="s">
        <v>134</v>
      </c>
      <c r="C916" t="s">
        <v>110</v>
      </c>
      <c r="D916" t="s">
        <v>75</v>
      </c>
      <c r="F916" s="6">
        <v>19656</v>
      </c>
      <c r="G916" t="s">
        <v>137</v>
      </c>
    </row>
    <row r="917" spans="1:7" x14ac:dyDescent="0.2">
      <c r="A917" s="5">
        <v>46266</v>
      </c>
      <c r="B917" t="s">
        <v>134</v>
      </c>
      <c r="C917" t="s">
        <v>110</v>
      </c>
      <c r="D917" t="s">
        <v>76</v>
      </c>
      <c r="F917" s="6">
        <v>11794</v>
      </c>
      <c r="G917" t="s">
        <v>137</v>
      </c>
    </row>
    <row r="918" spans="1:7" x14ac:dyDescent="0.2">
      <c r="A918" s="5">
        <v>46266</v>
      </c>
      <c r="B918" t="s">
        <v>134</v>
      </c>
      <c r="C918" t="s">
        <v>110</v>
      </c>
      <c r="D918" t="s">
        <v>79</v>
      </c>
      <c r="F918" s="6">
        <v>7862</v>
      </c>
      <c r="G918" t="s">
        <v>137</v>
      </c>
    </row>
    <row r="919" spans="1:7" x14ac:dyDescent="0.2">
      <c r="A919" s="5">
        <v>46266</v>
      </c>
      <c r="B919" t="s">
        <v>134</v>
      </c>
      <c r="C919" t="s">
        <v>110</v>
      </c>
      <c r="D919" t="s">
        <v>87</v>
      </c>
      <c r="F919" s="6">
        <v>5897</v>
      </c>
      <c r="G919" t="s">
        <v>137</v>
      </c>
    </row>
    <row r="920" spans="1:7" x14ac:dyDescent="0.2">
      <c r="A920" s="5">
        <v>46266</v>
      </c>
      <c r="B920" t="s">
        <v>134</v>
      </c>
      <c r="C920" t="s">
        <v>110</v>
      </c>
      <c r="D920" t="s">
        <v>89</v>
      </c>
      <c r="F920" s="6">
        <v>33415</v>
      </c>
      <c r="G920" t="s">
        <v>137</v>
      </c>
    </row>
    <row r="921" spans="1:7" x14ac:dyDescent="0.2">
      <c r="A921" s="5">
        <v>46266</v>
      </c>
      <c r="B921" t="s">
        <v>134</v>
      </c>
      <c r="C921" t="s">
        <v>110</v>
      </c>
      <c r="D921" t="s">
        <v>91</v>
      </c>
      <c r="F921" s="6">
        <v>3931</v>
      </c>
      <c r="G921" t="s">
        <v>137</v>
      </c>
    </row>
    <row r="922" spans="1:7" x14ac:dyDescent="0.2">
      <c r="A922" s="5">
        <v>46266</v>
      </c>
      <c r="B922" t="s">
        <v>134</v>
      </c>
      <c r="C922" t="s">
        <v>114</v>
      </c>
      <c r="D922" t="s">
        <v>67</v>
      </c>
      <c r="F922" s="6">
        <v>52920</v>
      </c>
      <c r="G922" t="s">
        <v>137</v>
      </c>
    </row>
    <row r="923" spans="1:7" x14ac:dyDescent="0.2">
      <c r="A923" s="5">
        <v>46266</v>
      </c>
      <c r="B923" t="s">
        <v>134</v>
      </c>
      <c r="C923" t="s">
        <v>114</v>
      </c>
      <c r="D923" t="s">
        <v>71</v>
      </c>
      <c r="F923" s="6">
        <v>11642</v>
      </c>
      <c r="G923" t="s">
        <v>137</v>
      </c>
    </row>
    <row r="924" spans="1:7" x14ac:dyDescent="0.2">
      <c r="A924" s="5">
        <v>46266</v>
      </c>
      <c r="B924" t="s">
        <v>134</v>
      </c>
      <c r="C924" t="s">
        <v>114</v>
      </c>
      <c r="D924" t="s">
        <v>75</v>
      </c>
      <c r="F924" s="6">
        <v>5292</v>
      </c>
      <c r="G924" t="s">
        <v>137</v>
      </c>
    </row>
    <row r="925" spans="1:7" x14ac:dyDescent="0.2">
      <c r="A925" s="5">
        <v>46266</v>
      </c>
      <c r="B925" t="s">
        <v>134</v>
      </c>
      <c r="C925" t="s">
        <v>114</v>
      </c>
      <c r="D925" t="s">
        <v>76</v>
      </c>
      <c r="F925" s="6">
        <v>3175</v>
      </c>
      <c r="G925" t="s">
        <v>137</v>
      </c>
    </row>
    <row r="926" spans="1:7" x14ac:dyDescent="0.2">
      <c r="A926" s="5">
        <v>46266</v>
      </c>
      <c r="B926" t="s">
        <v>134</v>
      </c>
      <c r="C926" t="s">
        <v>114</v>
      </c>
      <c r="D926" t="s">
        <v>79</v>
      </c>
      <c r="F926" s="6">
        <v>2117</v>
      </c>
      <c r="G926" t="s">
        <v>137</v>
      </c>
    </row>
    <row r="927" spans="1:7" x14ac:dyDescent="0.2">
      <c r="A927" s="5">
        <v>46266</v>
      </c>
      <c r="B927" t="s">
        <v>134</v>
      </c>
      <c r="C927" t="s">
        <v>114</v>
      </c>
      <c r="D927" t="s">
        <v>87</v>
      </c>
      <c r="F927" s="6">
        <v>1588</v>
      </c>
      <c r="G927" t="s">
        <v>137</v>
      </c>
    </row>
    <row r="928" spans="1:7" x14ac:dyDescent="0.2">
      <c r="A928" s="5">
        <v>46266</v>
      </c>
      <c r="B928" t="s">
        <v>134</v>
      </c>
      <c r="C928" t="s">
        <v>114</v>
      </c>
      <c r="D928" t="s">
        <v>91</v>
      </c>
      <c r="F928" s="6">
        <v>1058</v>
      </c>
      <c r="G928" t="s">
        <v>137</v>
      </c>
    </row>
    <row r="929" spans="1:7" x14ac:dyDescent="0.2">
      <c r="A929" s="5">
        <v>46266</v>
      </c>
      <c r="B929" t="s">
        <v>134</v>
      </c>
      <c r="C929" t="s">
        <v>118</v>
      </c>
      <c r="D929" t="s">
        <v>67</v>
      </c>
      <c r="F929" s="6">
        <v>83160</v>
      </c>
      <c r="G929" t="s">
        <v>137</v>
      </c>
    </row>
    <row r="930" spans="1:7" x14ac:dyDescent="0.2">
      <c r="A930" s="5">
        <v>46266</v>
      </c>
      <c r="B930" t="s">
        <v>134</v>
      </c>
      <c r="C930" t="s">
        <v>118</v>
      </c>
      <c r="D930" t="s">
        <v>71</v>
      </c>
      <c r="F930" s="6">
        <v>18295</v>
      </c>
      <c r="G930" t="s">
        <v>137</v>
      </c>
    </row>
    <row r="931" spans="1:7" x14ac:dyDescent="0.2">
      <c r="A931" s="5">
        <v>46266</v>
      </c>
      <c r="B931" t="s">
        <v>134</v>
      </c>
      <c r="C931" t="s">
        <v>118</v>
      </c>
      <c r="D931" t="s">
        <v>75</v>
      </c>
      <c r="F931" s="6">
        <v>8316</v>
      </c>
      <c r="G931" t="s">
        <v>137</v>
      </c>
    </row>
    <row r="932" spans="1:7" x14ac:dyDescent="0.2">
      <c r="A932" s="5">
        <v>46266</v>
      </c>
      <c r="B932" t="s">
        <v>134</v>
      </c>
      <c r="C932" t="s">
        <v>118</v>
      </c>
      <c r="D932" t="s">
        <v>76</v>
      </c>
      <c r="F932" s="6">
        <v>4990</v>
      </c>
      <c r="G932" t="s">
        <v>137</v>
      </c>
    </row>
    <row r="933" spans="1:7" x14ac:dyDescent="0.2">
      <c r="A933" s="5">
        <v>46266</v>
      </c>
      <c r="B933" t="s">
        <v>134</v>
      </c>
      <c r="C933" t="s">
        <v>118</v>
      </c>
      <c r="D933" t="s">
        <v>79</v>
      </c>
      <c r="F933" s="6">
        <v>3326</v>
      </c>
      <c r="G933" t="s">
        <v>137</v>
      </c>
    </row>
    <row r="934" spans="1:7" x14ac:dyDescent="0.2">
      <c r="A934" s="5">
        <v>46266</v>
      </c>
      <c r="B934" t="s">
        <v>134</v>
      </c>
      <c r="C934" t="s">
        <v>118</v>
      </c>
      <c r="D934" t="s">
        <v>83</v>
      </c>
      <c r="F934" s="6">
        <v>48233</v>
      </c>
      <c r="G934" t="s">
        <v>137</v>
      </c>
    </row>
    <row r="935" spans="1:7" x14ac:dyDescent="0.2">
      <c r="A935" s="5">
        <v>46266</v>
      </c>
      <c r="B935" t="s">
        <v>134</v>
      </c>
      <c r="C935" t="s">
        <v>118</v>
      </c>
      <c r="D935" t="s">
        <v>85</v>
      </c>
      <c r="F935" s="6">
        <v>26611</v>
      </c>
      <c r="G935" t="s">
        <v>137</v>
      </c>
    </row>
    <row r="936" spans="1:7" x14ac:dyDescent="0.2">
      <c r="A936" s="5">
        <v>46266</v>
      </c>
      <c r="B936" t="s">
        <v>134</v>
      </c>
      <c r="C936" t="s">
        <v>118</v>
      </c>
      <c r="D936" t="s">
        <v>87</v>
      </c>
      <c r="F936" s="6">
        <v>2495</v>
      </c>
      <c r="G936" t="s">
        <v>137</v>
      </c>
    </row>
    <row r="937" spans="1:7" x14ac:dyDescent="0.2">
      <c r="A937" s="5">
        <v>46266</v>
      </c>
      <c r="B937" t="s">
        <v>134</v>
      </c>
      <c r="C937" t="s">
        <v>118</v>
      </c>
      <c r="D937" t="s">
        <v>91</v>
      </c>
      <c r="F937" s="6">
        <v>1663</v>
      </c>
      <c r="G937" t="s">
        <v>137</v>
      </c>
    </row>
    <row r="938" spans="1:7" x14ac:dyDescent="0.2">
      <c r="A938" s="5">
        <v>46296</v>
      </c>
      <c r="B938" t="s">
        <v>129</v>
      </c>
      <c r="C938" t="s">
        <v>122</v>
      </c>
      <c r="D938" t="s">
        <v>54</v>
      </c>
      <c r="E938" t="s">
        <v>130</v>
      </c>
      <c r="F938" s="6">
        <v>2019706</v>
      </c>
      <c r="G938" t="s">
        <v>138</v>
      </c>
    </row>
    <row r="939" spans="1:7" x14ac:dyDescent="0.2">
      <c r="A939" s="5">
        <v>46296</v>
      </c>
      <c r="B939" t="s">
        <v>129</v>
      </c>
      <c r="C939" t="s">
        <v>122</v>
      </c>
      <c r="D939" t="s">
        <v>54</v>
      </c>
      <c r="E939" t="s">
        <v>132</v>
      </c>
      <c r="F939" s="6">
        <v>1087534</v>
      </c>
      <c r="G939" t="s">
        <v>138</v>
      </c>
    </row>
    <row r="940" spans="1:7" x14ac:dyDescent="0.2">
      <c r="A940" s="5">
        <v>46296</v>
      </c>
      <c r="B940" t="s">
        <v>129</v>
      </c>
      <c r="C940" t="s">
        <v>122</v>
      </c>
      <c r="D940" t="s">
        <v>58</v>
      </c>
      <c r="E940" t="s">
        <v>133</v>
      </c>
      <c r="F940" s="6">
        <v>310724</v>
      </c>
      <c r="G940" t="s">
        <v>138</v>
      </c>
    </row>
    <row r="941" spans="1:7" x14ac:dyDescent="0.2">
      <c r="A941" s="5">
        <v>46296</v>
      </c>
      <c r="B941" t="s">
        <v>129</v>
      </c>
      <c r="C941" t="s">
        <v>97</v>
      </c>
      <c r="D941" t="s">
        <v>67</v>
      </c>
      <c r="F941" s="6">
        <v>359700</v>
      </c>
      <c r="G941" t="s">
        <v>138</v>
      </c>
    </row>
    <row r="942" spans="1:7" x14ac:dyDescent="0.2">
      <c r="A942" s="5">
        <v>46296</v>
      </c>
      <c r="B942" t="s">
        <v>129</v>
      </c>
      <c r="C942" t="s">
        <v>97</v>
      </c>
      <c r="D942" t="s">
        <v>71</v>
      </c>
      <c r="F942" s="6">
        <v>79134</v>
      </c>
      <c r="G942" t="s">
        <v>138</v>
      </c>
    </row>
    <row r="943" spans="1:7" x14ac:dyDescent="0.2">
      <c r="A943" s="5">
        <v>46296</v>
      </c>
      <c r="B943" t="s">
        <v>129</v>
      </c>
      <c r="C943" t="s">
        <v>97</v>
      </c>
      <c r="D943" t="s">
        <v>73</v>
      </c>
      <c r="F943" s="6">
        <v>125895</v>
      </c>
      <c r="G943" t="s">
        <v>138</v>
      </c>
    </row>
    <row r="944" spans="1:7" x14ac:dyDescent="0.2">
      <c r="A944" s="5">
        <v>46296</v>
      </c>
      <c r="B944" t="s">
        <v>129</v>
      </c>
      <c r="C944" t="s">
        <v>97</v>
      </c>
      <c r="D944" t="s">
        <v>75</v>
      </c>
      <c r="F944" s="6">
        <v>35970</v>
      </c>
      <c r="G944" t="s">
        <v>138</v>
      </c>
    </row>
    <row r="945" spans="1:7" x14ac:dyDescent="0.2">
      <c r="A945" s="5">
        <v>46296</v>
      </c>
      <c r="B945" t="s">
        <v>129</v>
      </c>
      <c r="C945" t="s">
        <v>97</v>
      </c>
      <c r="D945" t="s">
        <v>76</v>
      </c>
      <c r="F945" s="6">
        <v>21582</v>
      </c>
      <c r="G945" t="s">
        <v>138</v>
      </c>
    </row>
    <row r="946" spans="1:7" x14ac:dyDescent="0.2">
      <c r="A946" s="5">
        <v>46296</v>
      </c>
      <c r="B946" t="s">
        <v>129</v>
      </c>
      <c r="C946" t="s">
        <v>97</v>
      </c>
      <c r="D946" t="s">
        <v>79</v>
      </c>
      <c r="F946" s="6">
        <v>28776</v>
      </c>
      <c r="G946" t="s">
        <v>138</v>
      </c>
    </row>
    <row r="947" spans="1:7" x14ac:dyDescent="0.2">
      <c r="A947" s="5">
        <v>46296</v>
      </c>
      <c r="B947" t="s">
        <v>129</v>
      </c>
      <c r="C947" t="s">
        <v>97</v>
      </c>
      <c r="D947" t="s">
        <v>87</v>
      </c>
      <c r="F947" s="6">
        <v>10791</v>
      </c>
      <c r="G947" t="s">
        <v>138</v>
      </c>
    </row>
    <row r="948" spans="1:7" x14ac:dyDescent="0.2">
      <c r="A948" s="5">
        <v>46296</v>
      </c>
      <c r="B948" t="s">
        <v>129</v>
      </c>
      <c r="C948" t="s">
        <v>97</v>
      </c>
      <c r="D948" t="s">
        <v>91</v>
      </c>
      <c r="F948" s="6">
        <v>7194</v>
      </c>
      <c r="G948" t="s">
        <v>138</v>
      </c>
    </row>
    <row r="949" spans="1:7" x14ac:dyDescent="0.2">
      <c r="A949" s="5">
        <v>46296</v>
      </c>
      <c r="B949" t="s">
        <v>129</v>
      </c>
      <c r="C949" t="s">
        <v>102</v>
      </c>
      <c r="D949" t="s">
        <v>67</v>
      </c>
      <c r="F949" s="6">
        <v>163500</v>
      </c>
      <c r="G949" t="s">
        <v>138</v>
      </c>
    </row>
    <row r="950" spans="1:7" x14ac:dyDescent="0.2">
      <c r="A950" s="5">
        <v>46296</v>
      </c>
      <c r="B950" t="s">
        <v>129</v>
      </c>
      <c r="C950" t="s">
        <v>102</v>
      </c>
      <c r="D950" t="s">
        <v>71</v>
      </c>
      <c r="F950" s="6">
        <v>35970</v>
      </c>
      <c r="G950" t="s">
        <v>138</v>
      </c>
    </row>
    <row r="951" spans="1:7" x14ac:dyDescent="0.2">
      <c r="A951" s="5">
        <v>46296</v>
      </c>
      <c r="B951" t="s">
        <v>129</v>
      </c>
      <c r="C951" t="s">
        <v>102</v>
      </c>
      <c r="D951" t="s">
        <v>75</v>
      </c>
      <c r="F951" s="6">
        <v>16350</v>
      </c>
      <c r="G951" t="s">
        <v>138</v>
      </c>
    </row>
    <row r="952" spans="1:7" x14ac:dyDescent="0.2">
      <c r="A952" s="5">
        <v>46296</v>
      </c>
      <c r="B952" t="s">
        <v>129</v>
      </c>
      <c r="C952" t="s">
        <v>102</v>
      </c>
      <c r="D952" t="s">
        <v>76</v>
      </c>
      <c r="F952" s="6">
        <v>9810</v>
      </c>
      <c r="G952" t="s">
        <v>138</v>
      </c>
    </row>
    <row r="953" spans="1:7" x14ac:dyDescent="0.2">
      <c r="A953" s="5">
        <v>46296</v>
      </c>
      <c r="B953" t="s">
        <v>129</v>
      </c>
      <c r="C953" t="s">
        <v>102</v>
      </c>
      <c r="D953" t="s">
        <v>79</v>
      </c>
      <c r="F953" s="6">
        <v>13080</v>
      </c>
      <c r="G953" t="s">
        <v>138</v>
      </c>
    </row>
    <row r="954" spans="1:7" x14ac:dyDescent="0.2">
      <c r="A954" s="5">
        <v>46296</v>
      </c>
      <c r="B954" t="s">
        <v>129</v>
      </c>
      <c r="C954" t="s">
        <v>102</v>
      </c>
      <c r="D954" t="s">
        <v>81</v>
      </c>
      <c r="F954" s="6">
        <v>220725</v>
      </c>
      <c r="G954" t="s">
        <v>138</v>
      </c>
    </row>
    <row r="955" spans="1:7" x14ac:dyDescent="0.2">
      <c r="A955" s="5">
        <v>46296</v>
      </c>
      <c r="B955" t="s">
        <v>129</v>
      </c>
      <c r="C955" t="s">
        <v>102</v>
      </c>
      <c r="D955" t="s">
        <v>87</v>
      </c>
      <c r="F955" s="6">
        <v>4905</v>
      </c>
      <c r="G955" t="s">
        <v>138</v>
      </c>
    </row>
    <row r="956" spans="1:7" x14ac:dyDescent="0.2">
      <c r="A956" s="5">
        <v>46296</v>
      </c>
      <c r="B956" t="s">
        <v>129</v>
      </c>
      <c r="C956" t="s">
        <v>102</v>
      </c>
      <c r="D956" t="s">
        <v>91</v>
      </c>
      <c r="F956" s="6">
        <v>3270</v>
      </c>
      <c r="G956" t="s">
        <v>138</v>
      </c>
    </row>
    <row r="957" spans="1:7" x14ac:dyDescent="0.2">
      <c r="A957" s="5">
        <v>46296</v>
      </c>
      <c r="B957" t="s">
        <v>129</v>
      </c>
      <c r="C957" t="s">
        <v>106</v>
      </c>
      <c r="D957" t="s">
        <v>65</v>
      </c>
      <c r="F957" s="6">
        <v>74120</v>
      </c>
      <c r="G957" t="s">
        <v>138</v>
      </c>
    </row>
    <row r="958" spans="1:7" x14ac:dyDescent="0.2">
      <c r="A958" s="5">
        <v>46296</v>
      </c>
      <c r="B958" t="s">
        <v>129</v>
      </c>
      <c r="C958" t="s">
        <v>106</v>
      </c>
      <c r="D958" t="s">
        <v>67</v>
      </c>
      <c r="F958" s="6">
        <v>185300</v>
      </c>
      <c r="G958" t="s">
        <v>138</v>
      </c>
    </row>
    <row r="959" spans="1:7" x14ac:dyDescent="0.2">
      <c r="A959" s="5">
        <v>46296</v>
      </c>
      <c r="B959" t="s">
        <v>129</v>
      </c>
      <c r="C959" t="s">
        <v>106</v>
      </c>
      <c r="D959" t="s">
        <v>71</v>
      </c>
      <c r="F959" s="6">
        <v>40766</v>
      </c>
      <c r="G959" t="s">
        <v>138</v>
      </c>
    </row>
    <row r="960" spans="1:7" x14ac:dyDescent="0.2">
      <c r="A960" s="5">
        <v>46296</v>
      </c>
      <c r="B960" t="s">
        <v>129</v>
      </c>
      <c r="C960" t="s">
        <v>106</v>
      </c>
      <c r="D960" t="s">
        <v>75</v>
      </c>
      <c r="F960" s="6">
        <v>18530</v>
      </c>
      <c r="G960" t="s">
        <v>138</v>
      </c>
    </row>
    <row r="961" spans="1:7" x14ac:dyDescent="0.2">
      <c r="A961" s="5">
        <v>46296</v>
      </c>
      <c r="B961" t="s">
        <v>129</v>
      </c>
      <c r="C961" t="s">
        <v>106</v>
      </c>
      <c r="D961" t="s">
        <v>76</v>
      </c>
      <c r="F961" s="6">
        <v>11118</v>
      </c>
      <c r="G961" t="s">
        <v>138</v>
      </c>
    </row>
    <row r="962" spans="1:7" x14ac:dyDescent="0.2">
      <c r="A962" s="5">
        <v>46296</v>
      </c>
      <c r="B962" t="s">
        <v>129</v>
      </c>
      <c r="C962" t="s">
        <v>106</v>
      </c>
      <c r="D962" t="s">
        <v>79</v>
      </c>
      <c r="F962" s="6">
        <v>7412</v>
      </c>
      <c r="G962" t="s">
        <v>138</v>
      </c>
    </row>
    <row r="963" spans="1:7" x14ac:dyDescent="0.2">
      <c r="A963" s="5">
        <v>46296</v>
      </c>
      <c r="B963" t="s">
        <v>129</v>
      </c>
      <c r="C963" t="s">
        <v>106</v>
      </c>
      <c r="D963" t="s">
        <v>87</v>
      </c>
      <c r="F963" s="6">
        <v>5559</v>
      </c>
      <c r="G963" t="s">
        <v>138</v>
      </c>
    </row>
    <row r="964" spans="1:7" x14ac:dyDescent="0.2">
      <c r="A964" s="5">
        <v>46296</v>
      </c>
      <c r="B964" t="s">
        <v>129</v>
      </c>
      <c r="C964" t="s">
        <v>106</v>
      </c>
      <c r="D964" t="s">
        <v>91</v>
      </c>
      <c r="F964" s="6">
        <v>3706</v>
      </c>
      <c r="G964" t="s">
        <v>138</v>
      </c>
    </row>
    <row r="965" spans="1:7" x14ac:dyDescent="0.2">
      <c r="A965" s="5">
        <v>46296</v>
      </c>
      <c r="B965" t="s">
        <v>129</v>
      </c>
      <c r="C965" t="s">
        <v>110</v>
      </c>
      <c r="D965" t="s">
        <v>61</v>
      </c>
      <c r="F965" s="6">
        <v>566800</v>
      </c>
      <c r="G965" t="s">
        <v>138</v>
      </c>
    </row>
    <row r="966" spans="1:7" x14ac:dyDescent="0.2">
      <c r="A966" s="5">
        <v>46296</v>
      </c>
      <c r="B966" t="s">
        <v>129</v>
      </c>
      <c r="C966" t="s">
        <v>110</v>
      </c>
      <c r="D966" t="s">
        <v>67</v>
      </c>
      <c r="F966" s="6">
        <v>566800</v>
      </c>
      <c r="G966" t="s">
        <v>138</v>
      </c>
    </row>
    <row r="967" spans="1:7" x14ac:dyDescent="0.2">
      <c r="A967" s="5">
        <v>46296</v>
      </c>
      <c r="B967" t="s">
        <v>129</v>
      </c>
      <c r="C967" t="s">
        <v>110</v>
      </c>
      <c r="D967" t="s">
        <v>71</v>
      </c>
      <c r="F967" s="6">
        <v>124696</v>
      </c>
      <c r="G967" t="s">
        <v>138</v>
      </c>
    </row>
    <row r="968" spans="1:7" x14ac:dyDescent="0.2">
      <c r="A968" s="5">
        <v>46296</v>
      </c>
      <c r="B968" t="s">
        <v>129</v>
      </c>
      <c r="C968" t="s">
        <v>110</v>
      </c>
      <c r="D968" t="s">
        <v>75</v>
      </c>
      <c r="F968" s="6">
        <v>56680</v>
      </c>
      <c r="G968" t="s">
        <v>138</v>
      </c>
    </row>
    <row r="969" spans="1:7" x14ac:dyDescent="0.2">
      <c r="A969" s="5">
        <v>46296</v>
      </c>
      <c r="B969" t="s">
        <v>129</v>
      </c>
      <c r="C969" t="s">
        <v>110</v>
      </c>
      <c r="D969" t="s">
        <v>76</v>
      </c>
      <c r="F969" s="6">
        <v>34008</v>
      </c>
      <c r="G969" t="s">
        <v>138</v>
      </c>
    </row>
    <row r="970" spans="1:7" x14ac:dyDescent="0.2">
      <c r="A970" s="5">
        <v>46296</v>
      </c>
      <c r="B970" t="s">
        <v>129</v>
      </c>
      <c r="C970" t="s">
        <v>110</v>
      </c>
      <c r="D970" t="s">
        <v>79</v>
      </c>
      <c r="F970" s="6">
        <v>22672</v>
      </c>
      <c r="G970" t="s">
        <v>138</v>
      </c>
    </row>
    <row r="971" spans="1:7" x14ac:dyDescent="0.2">
      <c r="A971" s="5">
        <v>46296</v>
      </c>
      <c r="B971" t="s">
        <v>129</v>
      </c>
      <c r="C971" t="s">
        <v>110</v>
      </c>
      <c r="D971" t="s">
        <v>87</v>
      </c>
      <c r="F971" s="6">
        <v>17004</v>
      </c>
      <c r="G971" t="s">
        <v>138</v>
      </c>
    </row>
    <row r="972" spans="1:7" x14ac:dyDescent="0.2">
      <c r="A972" s="5">
        <v>46296</v>
      </c>
      <c r="B972" t="s">
        <v>129</v>
      </c>
      <c r="C972" t="s">
        <v>110</v>
      </c>
      <c r="D972" t="s">
        <v>89</v>
      </c>
      <c r="F972" s="6">
        <v>96356</v>
      </c>
      <c r="G972" t="s">
        <v>138</v>
      </c>
    </row>
    <row r="973" spans="1:7" x14ac:dyDescent="0.2">
      <c r="A973" s="5">
        <v>46296</v>
      </c>
      <c r="B973" t="s">
        <v>129</v>
      </c>
      <c r="C973" t="s">
        <v>110</v>
      </c>
      <c r="D973" t="s">
        <v>91</v>
      </c>
      <c r="F973" s="6">
        <v>11336</v>
      </c>
      <c r="G973" t="s">
        <v>138</v>
      </c>
    </row>
    <row r="974" spans="1:7" x14ac:dyDescent="0.2">
      <c r="A974" s="5">
        <v>46296</v>
      </c>
      <c r="B974" t="s">
        <v>129</v>
      </c>
      <c r="C974" t="s">
        <v>114</v>
      </c>
      <c r="D974" t="s">
        <v>67</v>
      </c>
      <c r="F974" s="6">
        <v>152600</v>
      </c>
      <c r="G974" t="s">
        <v>138</v>
      </c>
    </row>
    <row r="975" spans="1:7" x14ac:dyDescent="0.2">
      <c r="A975" s="5">
        <v>46296</v>
      </c>
      <c r="B975" t="s">
        <v>129</v>
      </c>
      <c r="C975" t="s">
        <v>114</v>
      </c>
      <c r="D975" t="s">
        <v>71</v>
      </c>
      <c r="F975" s="6">
        <v>33572</v>
      </c>
      <c r="G975" t="s">
        <v>138</v>
      </c>
    </row>
    <row r="976" spans="1:7" x14ac:dyDescent="0.2">
      <c r="A976" s="5">
        <v>46296</v>
      </c>
      <c r="B976" t="s">
        <v>129</v>
      </c>
      <c r="C976" t="s">
        <v>114</v>
      </c>
      <c r="D976" t="s">
        <v>75</v>
      </c>
      <c r="F976" s="6">
        <v>15260</v>
      </c>
      <c r="G976" t="s">
        <v>138</v>
      </c>
    </row>
    <row r="977" spans="1:7" x14ac:dyDescent="0.2">
      <c r="A977" s="5">
        <v>46296</v>
      </c>
      <c r="B977" t="s">
        <v>129</v>
      </c>
      <c r="C977" t="s">
        <v>114</v>
      </c>
      <c r="D977" t="s">
        <v>76</v>
      </c>
      <c r="F977" s="6">
        <v>9156</v>
      </c>
      <c r="G977" t="s">
        <v>138</v>
      </c>
    </row>
    <row r="978" spans="1:7" x14ac:dyDescent="0.2">
      <c r="A978" s="5">
        <v>46296</v>
      </c>
      <c r="B978" t="s">
        <v>129</v>
      </c>
      <c r="C978" t="s">
        <v>114</v>
      </c>
      <c r="D978" t="s">
        <v>79</v>
      </c>
      <c r="F978" s="6">
        <v>6104</v>
      </c>
      <c r="G978" t="s">
        <v>138</v>
      </c>
    </row>
    <row r="979" spans="1:7" x14ac:dyDescent="0.2">
      <c r="A979" s="5">
        <v>46296</v>
      </c>
      <c r="B979" t="s">
        <v>129</v>
      </c>
      <c r="C979" t="s">
        <v>114</v>
      </c>
      <c r="D979" t="s">
        <v>87</v>
      </c>
      <c r="F979" s="6">
        <v>4578</v>
      </c>
      <c r="G979" t="s">
        <v>138</v>
      </c>
    </row>
    <row r="980" spans="1:7" x14ac:dyDescent="0.2">
      <c r="A980" s="5">
        <v>46296</v>
      </c>
      <c r="B980" t="s">
        <v>129</v>
      </c>
      <c r="C980" t="s">
        <v>114</v>
      </c>
      <c r="D980" t="s">
        <v>91</v>
      </c>
      <c r="F980" s="6">
        <v>3052</v>
      </c>
      <c r="G980" t="s">
        <v>138</v>
      </c>
    </row>
    <row r="981" spans="1:7" x14ac:dyDescent="0.2">
      <c r="A981" s="5">
        <v>46296</v>
      </c>
      <c r="B981" t="s">
        <v>129</v>
      </c>
      <c r="C981" t="s">
        <v>118</v>
      </c>
      <c r="D981" t="s">
        <v>67</v>
      </c>
      <c r="F981" s="6">
        <v>239800</v>
      </c>
      <c r="G981" t="s">
        <v>138</v>
      </c>
    </row>
    <row r="982" spans="1:7" x14ac:dyDescent="0.2">
      <c r="A982" s="5">
        <v>46296</v>
      </c>
      <c r="B982" t="s">
        <v>129</v>
      </c>
      <c r="C982" t="s">
        <v>118</v>
      </c>
      <c r="D982" t="s">
        <v>71</v>
      </c>
      <c r="F982" s="6">
        <v>52756</v>
      </c>
      <c r="G982" t="s">
        <v>138</v>
      </c>
    </row>
    <row r="983" spans="1:7" x14ac:dyDescent="0.2">
      <c r="A983" s="5">
        <v>46296</v>
      </c>
      <c r="B983" t="s">
        <v>129</v>
      </c>
      <c r="C983" t="s">
        <v>118</v>
      </c>
      <c r="D983" t="s">
        <v>75</v>
      </c>
      <c r="F983" s="6">
        <v>23980</v>
      </c>
      <c r="G983" t="s">
        <v>138</v>
      </c>
    </row>
    <row r="984" spans="1:7" x14ac:dyDescent="0.2">
      <c r="A984" s="5">
        <v>46296</v>
      </c>
      <c r="B984" t="s">
        <v>129</v>
      </c>
      <c r="C984" t="s">
        <v>118</v>
      </c>
      <c r="D984" t="s">
        <v>76</v>
      </c>
      <c r="F984" s="6">
        <v>14388</v>
      </c>
      <c r="G984" t="s">
        <v>138</v>
      </c>
    </row>
    <row r="985" spans="1:7" x14ac:dyDescent="0.2">
      <c r="A985" s="5">
        <v>46296</v>
      </c>
      <c r="B985" t="s">
        <v>129</v>
      </c>
      <c r="C985" t="s">
        <v>118</v>
      </c>
      <c r="D985" t="s">
        <v>79</v>
      </c>
      <c r="F985" s="6">
        <v>9592</v>
      </c>
      <c r="G985" t="s">
        <v>138</v>
      </c>
    </row>
    <row r="986" spans="1:7" x14ac:dyDescent="0.2">
      <c r="A986" s="5">
        <v>46296</v>
      </c>
      <c r="B986" t="s">
        <v>129</v>
      </c>
      <c r="C986" t="s">
        <v>118</v>
      </c>
      <c r="D986" t="s">
        <v>83</v>
      </c>
      <c r="F986" s="6">
        <v>139084</v>
      </c>
      <c r="G986" t="s">
        <v>138</v>
      </c>
    </row>
    <row r="987" spans="1:7" x14ac:dyDescent="0.2">
      <c r="A987" s="5">
        <v>46296</v>
      </c>
      <c r="B987" t="s">
        <v>129</v>
      </c>
      <c r="C987" t="s">
        <v>118</v>
      </c>
      <c r="D987" t="s">
        <v>85</v>
      </c>
      <c r="F987" s="6">
        <v>76736</v>
      </c>
      <c r="G987" t="s">
        <v>138</v>
      </c>
    </row>
    <row r="988" spans="1:7" x14ac:dyDescent="0.2">
      <c r="A988" s="5">
        <v>46296</v>
      </c>
      <c r="B988" t="s">
        <v>129</v>
      </c>
      <c r="C988" t="s">
        <v>118</v>
      </c>
      <c r="D988" t="s">
        <v>87</v>
      </c>
      <c r="F988" s="6">
        <v>7194</v>
      </c>
      <c r="G988" t="s">
        <v>138</v>
      </c>
    </row>
    <row r="989" spans="1:7" x14ac:dyDescent="0.2">
      <c r="A989" s="5">
        <v>46296</v>
      </c>
      <c r="B989" t="s">
        <v>129</v>
      </c>
      <c r="C989" t="s">
        <v>118</v>
      </c>
      <c r="D989" t="s">
        <v>91</v>
      </c>
      <c r="F989" s="6">
        <v>4796</v>
      </c>
      <c r="G989" t="s">
        <v>138</v>
      </c>
    </row>
    <row r="990" spans="1:7" x14ac:dyDescent="0.2">
      <c r="A990" s="5">
        <v>46296</v>
      </c>
      <c r="B990" t="s">
        <v>134</v>
      </c>
      <c r="C990" t="s">
        <v>122</v>
      </c>
      <c r="D990" t="s">
        <v>54</v>
      </c>
      <c r="E990" t="s">
        <v>130</v>
      </c>
      <c r="F990" s="6">
        <v>706897</v>
      </c>
      <c r="G990" t="s">
        <v>138</v>
      </c>
    </row>
    <row r="991" spans="1:7" x14ac:dyDescent="0.2">
      <c r="A991" s="5">
        <v>46296</v>
      </c>
      <c r="B991" t="s">
        <v>134</v>
      </c>
      <c r="C991" t="s">
        <v>122</v>
      </c>
      <c r="D991" t="s">
        <v>54</v>
      </c>
      <c r="E991" t="s">
        <v>132</v>
      </c>
      <c r="F991" s="6">
        <v>380637</v>
      </c>
      <c r="G991" t="s">
        <v>138</v>
      </c>
    </row>
    <row r="992" spans="1:7" x14ac:dyDescent="0.2">
      <c r="A992" s="5">
        <v>46296</v>
      </c>
      <c r="B992" t="s">
        <v>134</v>
      </c>
      <c r="C992" t="s">
        <v>122</v>
      </c>
      <c r="D992" t="s">
        <v>58</v>
      </c>
      <c r="E992" t="s">
        <v>133</v>
      </c>
      <c r="F992" s="6">
        <v>108753</v>
      </c>
      <c r="G992" t="s">
        <v>138</v>
      </c>
    </row>
    <row r="993" spans="1:7" x14ac:dyDescent="0.2">
      <c r="A993" s="5">
        <v>46296</v>
      </c>
      <c r="B993" t="s">
        <v>134</v>
      </c>
      <c r="C993" t="s">
        <v>97</v>
      </c>
      <c r="D993" t="s">
        <v>67</v>
      </c>
      <c r="F993" s="6">
        <v>125895</v>
      </c>
      <c r="G993" t="s">
        <v>138</v>
      </c>
    </row>
    <row r="994" spans="1:7" x14ac:dyDescent="0.2">
      <c r="A994" s="5">
        <v>46296</v>
      </c>
      <c r="B994" t="s">
        <v>134</v>
      </c>
      <c r="C994" t="s">
        <v>97</v>
      </c>
      <c r="D994" t="s">
        <v>71</v>
      </c>
      <c r="F994" s="6">
        <v>27697</v>
      </c>
      <c r="G994" t="s">
        <v>138</v>
      </c>
    </row>
    <row r="995" spans="1:7" x14ac:dyDescent="0.2">
      <c r="A995" s="5">
        <v>46296</v>
      </c>
      <c r="B995" t="s">
        <v>134</v>
      </c>
      <c r="C995" t="s">
        <v>97</v>
      </c>
      <c r="D995" t="s">
        <v>73</v>
      </c>
      <c r="F995" s="6">
        <v>44063</v>
      </c>
      <c r="G995" t="s">
        <v>138</v>
      </c>
    </row>
    <row r="996" spans="1:7" x14ac:dyDescent="0.2">
      <c r="A996" s="5">
        <v>46296</v>
      </c>
      <c r="B996" t="s">
        <v>134</v>
      </c>
      <c r="C996" t="s">
        <v>97</v>
      </c>
      <c r="D996" t="s">
        <v>75</v>
      </c>
      <c r="F996" s="6">
        <v>12590</v>
      </c>
      <c r="G996" t="s">
        <v>138</v>
      </c>
    </row>
    <row r="997" spans="1:7" x14ac:dyDescent="0.2">
      <c r="A997" s="5">
        <v>46296</v>
      </c>
      <c r="B997" t="s">
        <v>134</v>
      </c>
      <c r="C997" t="s">
        <v>97</v>
      </c>
      <c r="D997" t="s">
        <v>76</v>
      </c>
      <c r="F997" s="6">
        <v>7554</v>
      </c>
      <c r="G997" t="s">
        <v>138</v>
      </c>
    </row>
    <row r="998" spans="1:7" x14ac:dyDescent="0.2">
      <c r="A998" s="5">
        <v>46296</v>
      </c>
      <c r="B998" t="s">
        <v>134</v>
      </c>
      <c r="C998" t="s">
        <v>97</v>
      </c>
      <c r="D998" t="s">
        <v>79</v>
      </c>
      <c r="F998" s="6">
        <v>10072</v>
      </c>
      <c r="G998" t="s">
        <v>138</v>
      </c>
    </row>
    <row r="999" spans="1:7" x14ac:dyDescent="0.2">
      <c r="A999" s="5">
        <v>46296</v>
      </c>
      <c r="B999" t="s">
        <v>134</v>
      </c>
      <c r="C999" t="s">
        <v>97</v>
      </c>
      <c r="D999" t="s">
        <v>87</v>
      </c>
      <c r="F999" s="6">
        <v>3777</v>
      </c>
      <c r="G999" t="s">
        <v>138</v>
      </c>
    </row>
    <row r="1000" spans="1:7" x14ac:dyDescent="0.2">
      <c r="A1000" s="5">
        <v>46296</v>
      </c>
      <c r="B1000" t="s">
        <v>134</v>
      </c>
      <c r="C1000" t="s">
        <v>97</v>
      </c>
      <c r="D1000" t="s">
        <v>91</v>
      </c>
      <c r="F1000" s="6">
        <v>2518</v>
      </c>
      <c r="G1000" t="s">
        <v>138</v>
      </c>
    </row>
    <row r="1001" spans="1:7" x14ac:dyDescent="0.2">
      <c r="A1001" s="5">
        <v>46296</v>
      </c>
      <c r="B1001" t="s">
        <v>134</v>
      </c>
      <c r="C1001" t="s">
        <v>102</v>
      </c>
      <c r="D1001" t="s">
        <v>67</v>
      </c>
      <c r="F1001" s="6">
        <v>57225</v>
      </c>
      <c r="G1001" t="s">
        <v>138</v>
      </c>
    </row>
    <row r="1002" spans="1:7" x14ac:dyDescent="0.2">
      <c r="A1002" s="5">
        <v>46296</v>
      </c>
      <c r="B1002" t="s">
        <v>134</v>
      </c>
      <c r="C1002" t="s">
        <v>102</v>
      </c>
      <c r="D1002" t="s">
        <v>71</v>
      </c>
      <c r="F1002" s="6">
        <v>12590</v>
      </c>
      <c r="G1002" t="s">
        <v>138</v>
      </c>
    </row>
    <row r="1003" spans="1:7" x14ac:dyDescent="0.2">
      <c r="A1003" s="5">
        <v>46296</v>
      </c>
      <c r="B1003" t="s">
        <v>134</v>
      </c>
      <c r="C1003" t="s">
        <v>102</v>
      </c>
      <c r="D1003" t="s">
        <v>75</v>
      </c>
      <c r="F1003" s="6">
        <v>5722</v>
      </c>
      <c r="G1003" t="s">
        <v>138</v>
      </c>
    </row>
    <row r="1004" spans="1:7" x14ac:dyDescent="0.2">
      <c r="A1004" s="5">
        <v>46296</v>
      </c>
      <c r="B1004" t="s">
        <v>134</v>
      </c>
      <c r="C1004" t="s">
        <v>102</v>
      </c>
      <c r="D1004" t="s">
        <v>76</v>
      </c>
      <c r="F1004" s="6">
        <v>3434</v>
      </c>
      <c r="G1004" t="s">
        <v>138</v>
      </c>
    </row>
    <row r="1005" spans="1:7" x14ac:dyDescent="0.2">
      <c r="A1005" s="5">
        <v>46296</v>
      </c>
      <c r="B1005" t="s">
        <v>134</v>
      </c>
      <c r="C1005" t="s">
        <v>102</v>
      </c>
      <c r="D1005" t="s">
        <v>79</v>
      </c>
      <c r="F1005" s="6">
        <v>4578</v>
      </c>
      <c r="G1005" t="s">
        <v>138</v>
      </c>
    </row>
    <row r="1006" spans="1:7" x14ac:dyDescent="0.2">
      <c r="A1006" s="5">
        <v>46296</v>
      </c>
      <c r="B1006" t="s">
        <v>134</v>
      </c>
      <c r="C1006" t="s">
        <v>102</v>
      </c>
      <c r="D1006" t="s">
        <v>81</v>
      </c>
      <c r="F1006" s="6">
        <v>77254</v>
      </c>
      <c r="G1006" t="s">
        <v>138</v>
      </c>
    </row>
    <row r="1007" spans="1:7" x14ac:dyDescent="0.2">
      <c r="A1007" s="5">
        <v>46296</v>
      </c>
      <c r="B1007" t="s">
        <v>134</v>
      </c>
      <c r="C1007" t="s">
        <v>102</v>
      </c>
      <c r="D1007" t="s">
        <v>87</v>
      </c>
      <c r="F1007" s="6">
        <v>1717</v>
      </c>
      <c r="G1007" t="s">
        <v>138</v>
      </c>
    </row>
    <row r="1008" spans="1:7" x14ac:dyDescent="0.2">
      <c r="A1008" s="5">
        <v>46296</v>
      </c>
      <c r="B1008" t="s">
        <v>134</v>
      </c>
      <c r="C1008" t="s">
        <v>102</v>
      </c>
      <c r="D1008" t="s">
        <v>91</v>
      </c>
      <c r="F1008" s="6">
        <v>1144</v>
      </c>
      <c r="G1008" t="s">
        <v>138</v>
      </c>
    </row>
    <row r="1009" spans="1:7" x14ac:dyDescent="0.2">
      <c r="A1009" s="5">
        <v>46296</v>
      </c>
      <c r="B1009" t="s">
        <v>134</v>
      </c>
      <c r="C1009" t="s">
        <v>106</v>
      </c>
      <c r="D1009" t="s">
        <v>65</v>
      </c>
      <c r="F1009" s="6">
        <v>25942</v>
      </c>
      <c r="G1009" t="s">
        <v>138</v>
      </c>
    </row>
    <row r="1010" spans="1:7" x14ac:dyDescent="0.2">
      <c r="A1010" s="5">
        <v>46296</v>
      </c>
      <c r="B1010" t="s">
        <v>134</v>
      </c>
      <c r="C1010" t="s">
        <v>106</v>
      </c>
      <c r="D1010" t="s">
        <v>67</v>
      </c>
      <c r="F1010" s="6">
        <v>64855</v>
      </c>
      <c r="G1010" t="s">
        <v>138</v>
      </c>
    </row>
    <row r="1011" spans="1:7" x14ac:dyDescent="0.2">
      <c r="A1011" s="5">
        <v>46296</v>
      </c>
      <c r="B1011" t="s">
        <v>134</v>
      </c>
      <c r="C1011" t="s">
        <v>106</v>
      </c>
      <c r="D1011" t="s">
        <v>71</v>
      </c>
      <c r="F1011" s="6">
        <v>14268</v>
      </c>
      <c r="G1011" t="s">
        <v>138</v>
      </c>
    </row>
    <row r="1012" spans="1:7" x14ac:dyDescent="0.2">
      <c r="A1012" s="5">
        <v>46296</v>
      </c>
      <c r="B1012" t="s">
        <v>134</v>
      </c>
      <c r="C1012" t="s">
        <v>106</v>
      </c>
      <c r="D1012" t="s">
        <v>75</v>
      </c>
      <c r="F1012" s="6">
        <v>6486</v>
      </c>
      <c r="G1012" t="s">
        <v>138</v>
      </c>
    </row>
    <row r="1013" spans="1:7" x14ac:dyDescent="0.2">
      <c r="A1013" s="5">
        <v>46296</v>
      </c>
      <c r="B1013" t="s">
        <v>134</v>
      </c>
      <c r="C1013" t="s">
        <v>106</v>
      </c>
      <c r="D1013" t="s">
        <v>76</v>
      </c>
      <c r="F1013" s="6">
        <v>3891</v>
      </c>
      <c r="G1013" t="s">
        <v>138</v>
      </c>
    </row>
    <row r="1014" spans="1:7" x14ac:dyDescent="0.2">
      <c r="A1014" s="5">
        <v>46296</v>
      </c>
      <c r="B1014" t="s">
        <v>134</v>
      </c>
      <c r="C1014" t="s">
        <v>106</v>
      </c>
      <c r="D1014" t="s">
        <v>79</v>
      </c>
      <c r="F1014" s="6">
        <v>2594</v>
      </c>
      <c r="G1014" t="s">
        <v>138</v>
      </c>
    </row>
    <row r="1015" spans="1:7" x14ac:dyDescent="0.2">
      <c r="A1015" s="5">
        <v>46296</v>
      </c>
      <c r="B1015" t="s">
        <v>134</v>
      </c>
      <c r="C1015" t="s">
        <v>106</v>
      </c>
      <c r="D1015" t="s">
        <v>87</v>
      </c>
      <c r="F1015" s="6">
        <v>1946</v>
      </c>
      <c r="G1015" t="s">
        <v>138</v>
      </c>
    </row>
    <row r="1016" spans="1:7" x14ac:dyDescent="0.2">
      <c r="A1016" s="5">
        <v>46296</v>
      </c>
      <c r="B1016" t="s">
        <v>134</v>
      </c>
      <c r="C1016" t="s">
        <v>106</v>
      </c>
      <c r="D1016" t="s">
        <v>91</v>
      </c>
      <c r="F1016" s="6">
        <v>1297</v>
      </c>
      <c r="G1016" t="s">
        <v>138</v>
      </c>
    </row>
    <row r="1017" spans="1:7" x14ac:dyDescent="0.2">
      <c r="A1017" s="5">
        <v>46296</v>
      </c>
      <c r="B1017" t="s">
        <v>134</v>
      </c>
      <c r="C1017" t="s">
        <v>110</v>
      </c>
      <c r="D1017" t="s">
        <v>61</v>
      </c>
      <c r="F1017" s="6">
        <v>198380</v>
      </c>
      <c r="G1017" t="s">
        <v>138</v>
      </c>
    </row>
    <row r="1018" spans="1:7" x14ac:dyDescent="0.2">
      <c r="A1018" s="5">
        <v>46296</v>
      </c>
      <c r="B1018" t="s">
        <v>134</v>
      </c>
      <c r="C1018" t="s">
        <v>110</v>
      </c>
      <c r="D1018" t="s">
        <v>67</v>
      </c>
      <c r="F1018" s="6">
        <v>198380</v>
      </c>
      <c r="G1018" t="s">
        <v>138</v>
      </c>
    </row>
    <row r="1019" spans="1:7" x14ac:dyDescent="0.2">
      <c r="A1019" s="5">
        <v>46296</v>
      </c>
      <c r="B1019" t="s">
        <v>134</v>
      </c>
      <c r="C1019" t="s">
        <v>110</v>
      </c>
      <c r="D1019" t="s">
        <v>71</v>
      </c>
      <c r="F1019" s="6">
        <v>43644</v>
      </c>
      <c r="G1019" t="s">
        <v>138</v>
      </c>
    </row>
    <row r="1020" spans="1:7" x14ac:dyDescent="0.2">
      <c r="A1020" s="5">
        <v>46296</v>
      </c>
      <c r="B1020" t="s">
        <v>134</v>
      </c>
      <c r="C1020" t="s">
        <v>110</v>
      </c>
      <c r="D1020" t="s">
        <v>75</v>
      </c>
      <c r="F1020" s="6">
        <v>19838</v>
      </c>
      <c r="G1020" t="s">
        <v>138</v>
      </c>
    </row>
    <row r="1021" spans="1:7" x14ac:dyDescent="0.2">
      <c r="A1021" s="5">
        <v>46296</v>
      </c>
      <c r="B1021" t="s">
        <v>134</v>
      </c>
      <c r="C1021" t="s">
        <v>110</v>
      </c>
      <c r="D1021" t="s">
        <v>76</v>
      </c>
      <c r="F1021" s="6">
        <v>11903</v>
      </c>
      <c r="G1021" t="s">
        <v>138</v>
      </c>
    </row>
    <row r="1022" spans="1:7" x14ac:dyDescent="0.2">
      <c r="A1022" s="5">
        <v>46296</v>
      </c>
      <c r="B1022" t="s">
        <v>134</v>
      </c>
      <c r="C1022" t="s">
        <v>110</v>
      </c>
      <c r="D1022" t="s">
        <v>79</v>
      </c>
      <c r="F1022" s="6">
        <v>7935</v>
      </c>
      <c r="G1022" t="s">
        <v>138</v>
      </c>
    </row>
    <row r="1023" spans="1:7" x14ac:dyDescent="0.2">
      <c r="A1023" s="5">
        <v>46296</v>
      </c>
      <c r="B1023" t="s">
        <v>134</v>
      </c>
      <c r="C1023" t="s">
        <v>110</v>
      </c>
      <c r="D1023" t="s">
        <v>87</v>
      </c>
      <c r="F1023" s="6">
        <v>5951</v>
      </c>
      <c r="G1023" t="s">
        <v>138</v>
      </c>
    </row>
    <row r="1024" spans="1:7" x14ac:dyDescent="0.2">
      <c r="A1024" s="5">
        <v>46296</v>
      </c>
      <c r="B1024" t="s">
        <v>134</v>
      </c>
      <c r="C1024" t="s">
        <v>110</v>
      </c>
      <c r="D1024" t="s">
        <v>89</v>
      </c>
      <c r="F1024" s="6">
        <v>33725</v>
      </c>
      <c r="G1024" t="s">
        <v>138</v>
      </c>
    </row>
    <row r="1025" spans="1:7" x14ac:dyDescent="0.2">
      <c r="A1025" s="5">
        <v>46296</v>
      </c>
      <c r="B1025" t="s">
        <v>134</v>
      </c>
      <c r="C1025" t="s">
        <v>110</v>
      </c>
      <c r="D1025" t="s">
        <v>91</v>
      </c>
      <c r="F1025" s="6">
        <v>3968</v>
      </c>
      <c r="G1025" t="s">
        <v>138</v>
      </c>
    </row>
    <row r="1026" spans="1:7" x14ac:dyDescent="0.2">
      <c r="A1026" s="5">
        <v>46296</v>
      </c>
      <c r="B1026" t="s">
        <v>134</v>
      </c>
      <c r="C1026" t="s">
        <v>114</v>
      </c>
      <c r="D1026" t="s">
        <v>67</v>
      </c>
      <c r="F1026" s="6">
        <v>53410</v>
      </c>
      <c r="G1026" t="s">
        <v>138</v>
      </c>
    </row>
    <row r="1027" spans="1:7" x14ac:dyDescent="0.2">
      <c r="A1027" s="5">
        <v>46296</v>
      </c>
      <c r="B1027" t="s">
        <v>134</v>
      </c>
      <c r="C1027" t="s">
        <v>114</v>
      </c>
      <c r="D1027" t="s">
        <v>71</v>
      </c>
      <c r="F1027" s="6">
        <v>11750</v>
      </c>
      <c r="G1027" t="s">
        <v>138</v>
      </c>
    </row>
    <row r="1028" spans="1:7" x14ac:dyDescent="0.2">
      <c r="A1028" s="5">
        <v>46296</v>
      </c>
      <c r="B1028" t="s">
        <v>134</v>
      </c>
      <c r="C1028" t="s">
        <v>114</v>
      </c>
      <c r="D1028" t="s">
        <v>75</v>
      </c>
      <c r="F1028" s="6">
        <v>5341</v>
      </c>
      <c r="G1028" t="s">
        <v>138</v>
      </c>
    </row>
    <row r="1029" spans="1:7" x14ac:dyDescent="0.2">
      <c r="A1029" s="5">
        <v>46296</v>
      </c>
      <c r="B1029" t="s">
        <v>134</v>
      </c>
      <c r="C1029" t="s">
        <v>114</v>
      </c>
      <c r="D1029" t="s">
        <v>76</v>
      </c>
      <c r="F1029" s="6">
        <v>3205</v>
      </c>
      <c r="G1029" t="s">
        <v>138</v>
      </c>
    </row>
    <row r="1030" spans="1:7" x14ac:dyDescent="0.2">
      <c r="A1030" s="5">
        <v>46296</v>
      </c>
      <c r="B1030" t="s">
        <v>134</v>
      </c>
      <c r="C1030" t="s">
        <v>114</v>
      </c>
      <c r="D1030" t="s">
        <v>79</v>
      </c>
      <c r="F1030" s="6">
        <v>2136</v>
      </c>
      <c r="G1030" t="s">
        <v>138</v>
      </c>
    </row>
    <row r="1031" spans="1:7" x14ac:dyDescent="0.2">
      <c r="A1031" s="5">
        <v>46296</v>
      </c>
      <c r="B1031" t="s">
        <v>134</v>
      </c>
      <c r="C1031" t="s">
        <v>114</v>
      </c>
      <c r="D1031" t="s">
        <v>87</v>
      </c>
      <c r="F1031" s="6">
        <v>1602</v>
      </c>
      <c r="G1031" t="s">
        <v>138</v>
      </c>
    </row>
    <row r="1032" spans="1:7" x14ac:dyDescent="0.2">
      <c r="A1032" s="5">
        <v>46296</v>
      </c>
      <c r="B1032" t="s">
        <v>134</v>
      </c>
      <c r="C1032" t="s">
        <v>114</v>
      </c>
      <c r="D1032" t="s">
        <v>91</v>
      </c>
      <c r="F1032" s="6">
        <v>1068</v>
      </c>
      <c r="G1032" t="s">
        <v>138</v>
      </c>
    </row>
    <row r="1033" spans="1:7" x14ac:dyDescent="0.2">
      <c r="A1033" s="5">
        <v>46296</v>
      </c>
      <c r="B1033" t="s">
        <v>134</v>
      </c>
      <c r="C1033" t="s">
        <v>118</v>
      </c>
      <c r="D1033" t="s">
        <v>67</v>
      </c>
      <c r="F1033" s="6">
        <v>83930</v>
      </c>
      <c r="G1033" t="s">
        <v>138</v>
      </c>
    </row>
    <row r="1034" spans="1:7" x14ac:dyDescent="0.2">
      <c r="A1034" s="5">
        <v>46296</v>
      </c>
      <c r="B1034" t="s">
        <v>134</v>
      </c>
      <c r="C1034" t="s">
        <v>118</v>
      </c>
      <c r="D1034" t="s">
        <v>71</v>
      </c>
      <c r="F1034" s="6">
        <v>18465</v>
      </c>
      <c r="G1034" t="s">
        <v>138</v>
      </c>
    </row>
    <row r="1035" spans="1:7" x14ac:dyDescent="0.2">
      <c r="A1035" s="5">
        <v>46296</v>
      </c>
      <c r="B1035" t="s">
        <v>134</v>
      </c>
      <c r="C1035" t="s">
        <v>118</v>
      </c>
      <c r="D1035" t="s">
        <v>75</v>
      </c>
      <c r="F1035" s="6">
        <v>8393</v>
      </c>
      <c r="G1035" t="s">
        <v>138</v>
      </c>
    </row>
    <row r="1036" spans="1:7" x14ac:dyDescent="0.2">
      <c r="A1036" s="5">
        <v>46296</v>
      </c>
      <c r="B1036" t="s">
        <v>134</v>
      </c>
      <c r="C1036" t="s">
        <v>118</v>
      </c>
      <c r="D1036" t="s">
        <v>76</v>
      </c>
      <c r="F1036" s="6">
        <v>5036</v>
      </c>
      <c r="G1036" t="s">
        <v>138</v>
      </c>
    </row>
    <row r="1037" spans="1:7" x14ac:dyDescent="0.2">
      <c r="A1037" s="5">
        <v>46296</v>
      </c>
      <c r="B1037" t="s">
        <v>134</v>
      </c>
      <c r="C1037" t="s">
        <v>118</v>
      </c>
      <c r="D1037" t="s">
        <v>79</v>
      </c>
      <c r="F1037" s="6">
        <v>3357</v>
      </c>
      <c r="G1037" t="s">
        <v>138</v>
      </c>
    </row>
    <row r="1038" spans="1:7" x14ac:dyDescent="0.2">
      <c r="A1038" s="5">
        <v>46296</v>
      </c>
      <c r="B1038" t="s">
        <v>134</v>
      </c>
      <c r="C1038" t="s">
        <v>118</v>
      </c>
      <c r="D1038" t="s">
        <v>83</v>
      </c>
      <c r="F1038" s="6">
        <v>48679</v>
      </c>
      <c r="G1038" t="s">
        <v>138</v>
      </c>
    </row>
    <row r="1039" spans="1:7" x14ac:dyDescent="0.2">
      <c r="A1039" s="5">
        <v>46296</v>
      </c>
      <c r="B1039" t="s">
        <v>134</v>
      </c>
      <c r="C1039" t="s">
        <v>118</v>
      </c>
      <c r="D1039" t="s">
        <v>85</v>
      </c>
      <c r="F1039" s="6">
        <v>26858</v>
      </c>
      <c r="G1039" t="s">
        <v>138</v>
      </c>
    </row>
    <row r="1040" spans="1:7" x14ac:dyDescent="0.2">
      <c r="A1040" s="5">
        <v>46296</v>
      </c>
      <c r="B1040" t="s">
        <v>134</v>
      </c>
      <c r="C1040" t="s">
        <v>118</v>
      </c>
      <c r="D1040" t="s">
        <v>87</v>
      </c>
      <c r="F1040" s="6">
        <v>2518</v>
      </c>
      <c r="G1040" t="s">
        <v>138</v>
      </c>
    </row>
    <row r="1041" spans="1:7" x14ac:dyDescent="0.2">
      <c r="A1041" s="5">
        <v>46296</v>
      </c>
      <c r="B1041" t="s">
        <v>134</v>
      </c>
      <c r="C1041" t="s">
        <v>118</v>
      </c>
      <c r="D1041" t="s">
        <v>91</v>
      </c>
      <c r="F1041" s="6">
        <v>1679</v>
      </c>
      <c r="G1041" t="s">
        <v>138</v>
      </c>
    </row>
    <row r="1042" spans="1:7" x14ac:dyDescent="0.2">
      <c r="A1042" s="5">
        <v>46327</v>
      </c>
      <c r="B1042" t="s">
        <v>129</v>
      </c>
      <c r="C1042" t="s">
        <v>122</v>
      </c>
      <c r="D1042" t="s">
        <v>54</v>
      </c>
      <c r="E1042" t="s">
        <v>130</v>
      </c>
      <c r="F1042" s="6">
        <v>2060101</v>
      </c>
      <c r="G1042" t="s">
        <v>138</v>
      </c>
    </row>
    <row r="1043" spans="1:7" x14ac:dyDescent="0.2">
      <c r="A1043" s="5">
        <v>46327</v>
      </c>
      <c r="B1043" t="s">
        <v>129</v>
      </c>
      <c r="C1043" t="s">
        <v>122</v>
      </c>
      <c r="D1043" t="s">
        <v>54</v>
      </c>
      <c r="E1043" t="s">
        <v>132</v>
      </c>
      <c r="F1043" s="6">
        <v>1109285</v>
      </c>
      <c r="G1043" t="s">
        <v>138</v>
      </c>
    </row>
    <row r="1044" spans="1:7" x14ac:dyDescent="0.2">
      <c r="A1044" s="5">
        <v>46327</v>
      </c>
      <c r="B1044" t="s">
        <v>129</v>
      </c>
      <c r="C1044" t="s">
        <v>122</v>
      </c>
      <c r="D1044" t="s">
        <v>58</v>
      </c>
      <c r="E1044" t="s">
        <v>133</v>
      </c>
      <c r="F1044" s="6">
        <v>316939</v>
      </c>
      <c r="G1044" t="s">
        <v>138</v>
      </c>
    </row>
    <row r="1045" spans="1:7" x14ac:dyDescent="0.2">
      <c r="A1045" s="5">
        <v>46327</v>
      </c>
      <c r="B1045" t="s">
        <v>129</v>
      </c>
      <c r="C1045" t="s">
        <v>97</v>
      </c>
      <c r="D1045" t="s">
        <v>67</v>
      </c>
      <c r="F1045" s="6">
        <v>363000</v>
      </c>
      <c r="G1045" t="s">
        <v>138</v>
      </c>
    </row>
    <row r="1046" spans="1:7" x14ac:dyDescent="0.2">
      <c r="A1046" s="5">
        <v>46327</v>
      </c>
      <c r="B1046" t="s">
        <v>129</v>
      </c>
      <c r="C1046" t="s">
        <v>97</v>
      </c>
      <c r="D1046" t="s">
        <v>71</v>
      </c>
      <c r="F1046" s="6">
        <v>79860</v>
      </c>
      <c r="G1046" t="s">
        <v>138</v>
      </c>
    </row>
    <row r="1047" spans="1:7" x14ac:dyDescent="0.2">
      <c r="A1047" s="5">
        <v>46327</v>
      </c>
      <c r="B1047" t="s">
        <v>129</v>
      </c>
      <c r="C1047" t="s">
        <v>97</v>
      </c>
      <c r="D1047" t="s">
        <v>73</v>
      </c>
      <c r="F1047" s="6">
        <v>127050</v>
      </c>
      <c r="G1047" t="s">
        <v>138</v>
      </c>
    </row>
    <row r="1048" spans="1:7" x14ac:dyDescent="0.2">
      <c r="A1048" s="5">
        <v>46327</v>
      </c>
      <c r="B1048" t="s">
        <v>129</v>
      </c>
      <c r="C1048" t="s">
        <v>97</v>
      </c>
      <c r="D1048" t="s">
        <v>75</v>
      </c>
      <c r="F1048" s="6">
        <v>36300</v>
      </c>
      <c r="G1048" t="s">
        <v>138</v>
      </c>
    </row>
    <row r="1049" spans="1:7" x14ac:dyDescent="0.2">
      <c r="A1049" s="5">
        <v>46327</v>
      </c>
      <c r="B1049" t="s">
        <v>129</v>
      </c>
      <c r="C1049" t="s">
        <v>97</v>
      </c>
      <c r="D1049" t="s">
        <v>76</v>
      </c>
      <c r="F1049" s="6">
        <v>21780</v>
      </c>
      <c r="G1049" t="s">
        <v>138</v>
      </c>
    </row>
    <row r="1050" spans="1:7" x14ac:dyDescent="0.2">
      <c r="A1050" s="5">
        <v>46327</v>
      </c>
      <c r="B1050" t="s">
        <v>129</v>
      </c>
      <c r="C1050" t="s">
        <v>97</v>
      </c>
      <c r="D1050" t="s">
        <v>79</v>
      </c>
      <c r="F1050" s="6">
        <v>29040</v>
      </c>
      <c r="G1050" t="s">
        <v>138</v>
      </c>
    </row>
    <row r="1051" spans="1:7" x14ac:dyDescent="0.2">
      <c r="A1051" s="5">
        <v>46327</v>
      </c>
      <c r="B1051" t="s">
        <v>129</v>
      </c>
      <c r="C1051" t="s">
        <v>97</v>
      </c>
      <c r="D1051" t="s">
        <v>87</v>
      </c>
      <c r="F1051" s="6">
        <v>10890</v>
      </c>
      <c r="G1051" t="s">
        <v>138</v>
      </c>
    </row>
    <row r="1052" spans="1:7" x14ac:dyDescent="0.2">
      <c r="A1052" s="5">
        <v>46327</v>
      </c>
      <c r="B1052" t="s">
        <v>129</v>
      </c>
      <c r="C1052" t="s">
        <v>97</v>
      </c>
      <c r="D1052" t="s">
        <v>91</v>
      </c>
      <c r="F1052" s="6">
        <v>7260</v>
      </c>
      <c r="G1052" t="s">
        <v>138</v>
      </c>
    </row>
    <row r="1053" spans="1:7" x14ac:dyDescent="0.2">
      <c r="A1053" s="5">
        <v>46327</v>
      </c>
      <c r="B1053" t="s">
        <v>129</v>
      </c>
      <c r="C1053" t="s">
        <v>102</v>
      </c>
      <c r="D1053" t="s">
        <v>67</v>
      </c>
      <c r="F1053" s="6">
        <v>165000</v>
      </c>
      <c r="G1053" t="s">
        <v>138</v>
      </c>
    </row>
    <row r="1054" spans="1:7" x14ac:dyDescent="0.2">
      <c r="A1054" s="5">
        <v>46327</v>
      </c>
      <c r="B1054" t="s">
        <v>129</v>
      </c>
      <c r="C1054" t="s">
        <v>102</v>
      </c>
      <c r="D1054" t="s">
        <v>71</v>
      </c>
      <c r="F1054" s="6">
        <v>36300</v>
      </c>
      <c r="G1054" t="s">
        <v>138</v>
      </c>
    </row>
    <row r="1055" spans="1:7" x14ac:dyDescent="0.2">
      <c r="A1055" s="5">
        <v>46327</v>
      </c>
      <c r="B1055" t="s">
        <v>129</v>
      </c>
      <c r="C1055" t="s">
        <v>102</v>
      </c>
      <c r="D1055" t="s">
        <v>75</v>
      </c>
      <c r="F1055" s="6">
        <v>16500</v>
      </c>
      <c r="G1055" t="s">
        <v>138</v>
      </c>
    </row>
    <row r="1056" spans="1:7" x14ac:dyDescent="0.2">
      <c r="A1056" s="5">
        <v>46327</v>
      </c>
      <c r="B1056" t="s">
        <v>129</v>
      </c>
      <c r="C1056" t="s">
        <v>102</v>
      </c>
      <c r="D1056" t="s">
        <v>76</v>
      </c>
      <c r="F1056" s="6">
        <v>9900</v>
      </c>
      <c r="G1056" t="s">
        <v>138</v>
      </c>
    </row>
    <row r="1057" spans="1:7" x14ac:dyDescent="0.2">
      <c r="A1057" s="5">
        <v>46327</v>
      </c>
      <c r="B1057" t="s">
        <v>129</v>
      </c>
      <c r="C1057" t="s">
        <v>102</v>
      </c>
      <c r="D1057" t="s">
        <v>79</v>
      </c>
      <c r="F1057" s="6">
        <v>13200</v>
      </c>
      <c r="G1057" t="s">
        <v>138</v>
      </c>
    </row>
    <row r="1058" spans="1:7" x14ac:dyDescent="0.2">
      <c r="A1058" s="5">
        <v>46327</v>
      </c>
      <c r="B1058" t="s">
        <v>129</v>
      </c>
      <c r="C1058" t="s">
        <v>102</v>
      </c>
      <c r="D1058" t="s">
        <v>81</v>
      </c>
      <c r="F1058" s="6">
        <v>222750</v>
      </c>
      <c r="G1058" t="s">
        <v>138</v>
      </c>
    </row>
    <row r="1059" spans="1:7" x14ac:dyDescent="0.2">
      <c r="A1059" s="5">
        <v>46327</v>
      </c>
      <c r="B1059" t="s">
        <v>129</v>
      </c>
      <c r="C1059" t="s">
        <v>102</v>
      </c>
      <c r="D1059" t="s">
        <v>87</v>
      </c>
      <c r="F1059" s="6">
        <v>4950</v>
      </c>
      <c r="G1059" t="s">
        <v>138</v>
      </c>
    </row>
    <row r="1060" spans="1:7" x14ac:dyDescent="0.2">
      <c r="A1060" s="5">
        <v>46327</v>
      </c>
      <c r="B1060" t="s">
        <v>129</v>
      </c>
      <c r="C1060" t="s">
        <v>102</v>
      </c>
      <c r="D1060" t="s">
        <v>91</v>
      </c>
      <c r="F1060" s="6">
        <v>3300</v>
      </c>
      <c r="G1060" t="s">
        <v>138</v>
      </c>
    </row>
    <row r="1061" spans="1:7" x14ac:dyDescent="0.2">
      <c r="A1061" s="5">
        <v>46327</v>
      </c>
      <c r="B1061" t="s">
        <v>129</v>
      </c>
      <c r="C1061" t="s">
        <v>106</v>
      </c>
      <c r="D1061" t="s">
        <v>65</v>
      </c>
      <c r="F1061" s="6">
        <v>74800</v>
      </c>
      <c r="G1061" t="s">
        <v>138</v>
      </c>
    </row>
    <row r="1062" spans="1:7" x14ac:dyDescent="0.2">
      <c r="A1062" s="5">
        <v>46327</v>
      </c>
      <c r="B1062" t="s">
        <v>129</v>
      </c>
      <c r="C1062" t="s">
        <v>106</v>
      </c>
      <c r="D1062" t="s">
        <v>67</v>
      </c>
      <c r="F1062" s="6">
        <v>187000</v>
      </c>
      <c r="G1062" t="s">
        <v>138</v>
      </c>
    </row>
    <row r="1063" spans="1:7" x14ac:dyDescent="0.2">
      <c r="A1063" s="5">
        <v>46327</v>
      </c>
      <c r="B1063" t="s">
        <v>129</v>
      </c>
      <c r="C1063" t="s">
        <v>106</v>
      </c>
      <c r="D1063" t="s">
        <v>71</v>
      </c>
      <c r="F1063" s="6">
        <v>41140</v>
      </c>
      <c r="G1063" t="s">
        <v>138</v>
      </c>
    </row>
    <row r="1064" spans="1:7" x14ac:dyDescent="0.2">
      <c r="A1064" s="5">
        <v>46327</v>
      </c>
      <c r="B1064" t="s">
        <v>129</v>
      </c>
      <c r="C1064" t="s">
        <v>106</v>
      </c>
      <c r="D1064" t="s">
        <v>75</v>
      </c>
      <c r="F1064" s="6">
        <v>18700</v>
      </c>
      <c r="G1064" t="s">
        <v>138</v>
      </c>
    </row>
    <row r="1065" spans="1:7" x14ac:dyDescent="0.2">
      <c r="A1065" s="5">
        <v>46327</v>
      </c>
      <c r="B1065" t="s">
        <v>129</v>
      </c>
      <c r="C1065" t="s">
        <v>106</v>
      </c>
      <c r="D1065" t="s">
        <v>76</v>
      </c>
      <c r="F1065" s="6">
        <v>11220</v>
      </c>
      <c r="G1065" t="s">
        <v>138</v>
      </c>
    </row>
    <row r="1066" spans="1:7" x14ac:dyDescent="0.2">
      <c r="A1066" s="5">
        <v>46327</v>
      </c>
      <c r="B1066" t="s">
        <v>129</v>
      </c>
      <c r="C1066" t="s">
        <v>106</v>
      </c>
      <c r="D1066" t="s">
        <v>79</v>
      </c>
      <c r="F1066" s="6">
        <v>7480</v>
      </c>
      <c r="G1066" t="s">
        <v>138</v>
      </c>
    </row>
    <row r="1067" spans="1:7" x14ac:dyDescent="0.2">
      <c r="A1067" s="5">
        <v>46327</v>
      </c>
      <c r="B1067" t="s">
        <v>129</v>
      </c>
      <c r="C1067" t="s">
        <v>106</v>
      </c>
      <c r="D1067" t="s">
        <v>87</v>
      </c>
      <c r="F1067" s="6">
        <v>5610</v>
      </c>
      <c r="G1067" t="s">
        <v>138</v>
      </c>
    </row>
    <row r="1068" spans="1:7" x14ac:dyDescent="0.2">
      <c r="A1068" s="5">
        <v>46327</v>
      </c>
      <c r="B1068" t="s">
        <v>129</v>
      </c>
      <c r="C1068" t="s">
        <v>106</v>
      </c>
      <c r="D1068" t="s">
        <v>91</v>
      </c>
      <c r="F1068" s="6">
        <v>3740</v>
      </c>
      <c r="G1068" t="s">
        <v>138</v>
      </c>
    </row>
    <row r="1069" spans="1:7" x14ac:dyDescent="0.2">
      <c r="A1069" s="5">
        <v>46327</v>
      </c>
      <c r="B1069" t="s">
        <v>129</v>
      </c>
      <c r="C1069" t="s">
        <v>110</v>
      </c>
      <c r="D1069" t="s">
        <v>61</v>
      </c>
      <c r="F1069" s="6">
        <v>572000</v>
      </c>
      <c r="G1069" t="s">
        <v>138</v>
      </c>
    </row>
    <row r="1070" spans="1:7" x14ac:dyDescent="0.2">
      <c r="A1070" s="5">
        <v>46327</v>
      </c>
      <c r="B1070" t="s">
        <v>129</v>
      </c>
      <c r="C1070" t="s">
        <v>110</v>
      </c>
      <c r="D1070" t="s">
        <v>67</v>
      </c>
      <c r="F1070" s="6">
        <v>572000</v>
      </c>
      <c r="G1070" t="s">
        <v>138</v>
      </c>
    </row>
    <row r="1071" spans="1:7" x14ac:dyDescent="0.2">
      <c r="A1071" s="5">
        <v>46327</v>
      </c>
      <c r="B1071" t="s">
        <v>129</v>
      </c>
      <c r="C1071" t="s">
        <v>110</v>
      </c>
      <c r="D1071" t="s">
        <v>71</v>
      </c>
      <c r="F1071" s="6">
        <v>125840</v>
      </c>
      <c r="G1071" t="s">
        <v>138</v>
      </c>
    </row>
    <row r="1072" spans="1:7" x14ac:dyDescent="0.2">
      <c r="A1072" s="5">
        <v>46327</v>
      </c>
      <c r="B1072" t="s">
        <v>129</v>
      </c>
      <c r="C1072" t="s">
        <v>110</v>
      </c>
      <c r="D1072" t="s">
        <v>75</v>
      </c>
      <c r="F1072" s="6">
        <v>57200</v>
      </c>
      <c r="G1072" t="s">
        <v>138</v>
      </c>
    </row>
    <row r="1073" spans="1:7" x14ac:dyDescent="0.2">
      <c r="A1073" s="5">
        <v>46327</v>
      </c>
      <c r="B1073" t="s">
        <v>129</v>
      </c>
      <c r="C1073" t="s">
        <v>110</v>
      </c>
      <c r="D1073" t="s">
        <v>76</v>
      </c>
      <c r="F1073" s="6">
        <v>34320</v>
      </c>
      <c r="G1073" t="s">
        <v>138</v>
      </c>
    </row>
    <row r="1074" spans="1:7" x14ac:dyDescent="0.2">
      <c r="A1074" s="5">
        <v>46327</v>
      </c>
      <c r="B1074" t="s">
        <v>129</v>
      </c>
      <c r="C1074" t="s">
        <v>110</v>
      </c>
      <c r="D1074" t="s">
        <v>79</v>
      </c>
      <c r="F1074" s="6">
        <v>22880</v>
      </c>
      <c r="G1074" t="s">
        <v>138</v>
      </c>
    </row>
    <row r="1075" spans="1:7" x14ac:dyDescent="0.2">
      <c r="A1075" s="5">
        <v>46327</v>
      </c>
      <c r="B1075" t="s">
        <v>129</v>
      </c>
      <c r="C1075" t="s">
        <v>110</v>
      </c>
      <c r="D1075" t="s">
        <v>87</v>
      </c>
      <c r="F1075" s="6">
        <v>17160</v>
      </c>
      <c r="G1075" t="s">
        <v>138</v>
      </c>
    </row>
    <row r="1076" spans="1:7" x14ac:dyDescent="0.2">
      <c r="A1076" s="5">
        <v>46327</v>
      </c>
      <c r="B1076" t="s">
        <v>129</v>
      </c>
      <c r="C1076" t="s">
        <v>110</v>
      </c>
      <c r="D1076" t="s">
        <v>89</v>
      </c>
      <c r="F1076" s="6">
        <v>97240</v>
      </c>
      <c r="G1076" t="s">
        <v>138</v>
      </c>
    </row>
    <row r="1077" spans="1:7" x14ac:dyDescent="0.2">
      <c r="A1077" s="5">
        <v>46327</v>
      </c>
      <c r="B1077" t="s">
        <v>129</v>
      </c>
      <c r="C1077" t="s">
        <v>110</v>
      </c>
      <c r="D1077" t="s">
        <v>91</v>
      </c>
      <c r="F1077" s="6">
        <v>11440</v>
      </c>
      <c r="G1077" t="s">
        <v>138</v>
      </c>
    </row>
    <row r="1078" spans="1:7" x14ac:dyDescent="0.2">
      <c r="A1078" s="5">
        <v>46327</v>
      </c>
      <c r="B1078" t="s">
        <v>129</v>
      </c>
      <c r="C1078" t="s">
        <v>114</v>
      </c>
      <c r="D1078" t="s">
        <v>67</v>
      </c>
      <c r="F1078" s="6">
        <v>154000</v>
      </c>
      <c r="G1078" t="s">
        <v>138</v>
      </c>
    </row>
    <row r="1079" spans="1:7" x14ac:dyDescent="0.2">
      <c r="A1079" s="5">
        <v>46327</v>
      </c>
      <c r="B1079" t="s">
        <v>129</v>
      </c>
      <c r="C1079" t="s">
        <v>114</v>
      </c>
      <c r="D1079" t="s">
        <v>71</v>
      </c>
      <c r="F1079" s="6">
        <v>33880</v>
      </c>
      <c r="G1079" t="s">
        <v>138</v>
      </c>
    </row>
    <row r="1080" spans="1:7" x14ac:dyDescent="0.2">
      <c r="A1080" s="5">
        <v>46327</v>
      </c>
      <c r="B1080" t="s">
        <v>129</v>
      </c>
      <c r="C1080" t="s">
        <v>114</v>
      </c>
      <c r="D1080" t="s">
        <v>75</v>
      </c>
      <c r="F1080" s="6">
        <v>15400</v>
      </c>
      <c r="G1080" t="s">
        <v>138</v>
      </c>
    </row>
    <row r="1081" spans="1:7" x14ac:dyDescent="0.2">
      <c r="A1081" s="5">
        <v>46327</v>
      </c>
      <c r="B1081" t="s">
        <v>129</v>
      </c>
      <c r="C1081" t="s">
        <v>114</v>
      </c>
      <c r="D1081" t="s">
        <v>76</v>
      </c>
      <c r="F1081" s="6">
        <v>9240</v>
      </c>
      <c r="G1081" t="s">
        <v>138</v>
      </c>
    </row>
    <row r="1082" spans="1:7" x14ac:dyDescent="0.2">
      <c r="A1082" s="5">
        <v>46327</v>
      </c>
      <c r="B1082" t="s">
        <v>129</v>
      </c>
      <c r="C1082" t="s">
        <v>114</v>
      </c>
      <c r="D1082" t="s">
        <v>79</v>
      </c>
      <c r="F1082" s="6">
        <v>6160</v>
      </c>
      <c r="G1082" t="s">
        <v>138</v>
      </c>
    </row>
    <row r="1083" spans="1:7" x14ac:dyDescent="0.2">
      <c r="A1083" s="5">
        <v>46327</v>
      </c>
      <c r="B1083" t="s">
        <v>129</v>
      </c>
      <c r="C1083" t="s">
        <v>114</v>
      </c>
      <c r="D1083" t="s">
        <v>87</v>
      </c>
      <c r="F1083" s="6">
        <v>4620</v>
      </c>
      <c r="G1083" t="s">
        <v>138</v>
      </c>
    </row>
    <row r="1084" spans="1:7" x14ac:dyDescent="0.2">
      <c r="A1084" s="5">
        <v>46327</v>
      </c>
      <c r="B1084" t="s">
        <v>129</v>
      </c>
      <c r="C1084" t="s">
        <v>114</v>
      </c>
      <c r="D1084" t="s">
        <v>91</v>
      </c>
      <c r="F1084" s="6">
        <v>3080</v>
      </c>
      <c r="G1084" t="s">
        <v>138</v>
      </c>
    </row>
    <row r="1085" spans="1:7" x14ac:dyDescent="0.2">
      <c r="A1085" s="5">
        <v>46327</v>
      </c>
      <c r="B1085" t="s">
        <v>129</v>
      </c>
      <c r="C1085" t="s">
        <v>118</v>
      </c>
      <c r="D1085" t="s">
        <v>67</v>
      </c>
      <c r="F1085" s="6">
        <v>242000</v>
      </c>
      <c r="G1085" t="s">
        <v>138</v>
      </c>
    </row>
    <row r="1086" spans="1:7" x14ac:dyDescent="0.2">
      <c r="A1086" s="5">
        <v>46327</v>
      </c>
      <c r="B1086" t="s">
        <v>129</v>
      </c>
      <c r="C1086" t="s">
        <v>118</v>
      </c>
      <c r="D1086" t="s">
        <v>71</v>
      </c>
      <c r="F1086" s="6">
        <v>53240</v>
      </c>
      <c r="G1086" t="s">
        <v>138</v>
      </c>
    </row>
    <row r="1087" spans="1:7" x14ac:dyDescent="0.2">
      <c r="A1087" s="5">
        <v>46327</v>
      </c>
      <c r="B1087" t="s">
        <v>129</v>
      </c>
      <c r="C1087" t="s">
        <v>118</v>
      </c>
      <c r="D1087" t="s">
        <v>75</v>
      </c>
      <c r="F1087" s="6">
        <v>24200</v>
      </c>
      <c r="G1087" t="s">
        <v>138</v>
      </c>
    </row>
    <row r="1088" spans="1:7" x14ac:dyDescent="0.2">
      <c r="A1088" s="5">
        <v>46327</v>
      </c>
      <c r="B1088" t="s">
        <v>129</v>
      </c>
      <c r="C1088" t="s">
        <v>118</v>
      </c>
      <c r="D1088" t="s">
        <v>76</v>
      </c>
      <c r="F1088" s="6">
        <v>14520</v>
      </c>
      <c r="G1088" t="s">
        <v>138</v>
      </c>
    </row>
    <row r="1089" spans="1:7" x14ac:dyDescent="0.2">
      <c r="A1089" s="5">
        <v>46327</v>
      </c>
      <c r="B1089" t="s">
        <v>129</v>
      </c>
      <c r="C1089" t="s">
        <v>118</v>
      </c>
      <c r="D1089" t="s">
        <v>79</v>
      </c>
      <c r="F1089" s="6">
        <v>9680</v>
      </c>
      <c r="G1089" t="s">
        <v>138</v>
      </c>
    </row>
    <row r="1090" spans="1:7" x14ac:dyDescent="0.2">
      <c r="A1090" s="5">
        <v>46327</v>
      </c>
      <c r="B1090" t="s">
        <v>129</v>
      </c>
      <c r="C1090" t="s">
        <v>118</v>
      </c>
      <c r="D1090" t="s">
        <v>83</v>
      </c>
      <c r="F1090" s="6">
        <v>140360</v>
      </c>
      <c r="G1090" t="s">
        <v>138</v>
      </c>
    </row>
    <row r="1091" spans="1:7" x14ac:dyDescent="0.2">
      <c r="A1091" s="5">
        <v>46327</v>
      </c>
      <c r="B1091" t="s">
        <v>129</v>
      </c>
      <c r="C1091" t="s">
        <v>118</v>
      </c>
      <c r="D1091" t="s">
        <v>85</v>
      </c>
      <c r="F1091" s="6">
        <v>77440</v>
      </c>
      <c r="G1091" t="s">
        <v>138</v>
      </c>
    </row>
    <row r="1092" spans="1:7" x14ac:dyDescent="0.2">
      <c r="A1092" s="5">
        <v>46327</v>
      </c>
      <c r="B1092" t="s">
        <v>129</v>
      </c>
      <c r="C1092" t="s">
        <v>118</v>
      </c>
      <c r="D1092" t="s">
        <v>87</v>
      </c>
      <c r="F1092" s="6">
        <v>7260</v>
      </c>
      <c r="G1092" t="s">
        <v>138</v>
      </c>
    </row>
    <row r="1093" spans="1:7" x14ac:dyDescent="0.2">
      <c r="A1093" s="5">
        <v>46327</v>
      </c>
      <c r="B1093" t="s">
        <v>129</v>
      </c>
      <c r="C1093" t="s">
        <v>118</v>
      </c>
      <c r="D1093" t="s">
        <v>91</v>
      </c>
      <c r="F1093" s="6">
        <v>4840</v>
      </c>
      <c r="G1093" t="s">
        <v>138</v>
      </c>
    </row>
    <row r="1094" spans="1:7" x14ac:dyDescent="0.2">
      <c r="A1094" s="5">
        <v>46327</v>
      </c>
      <c r="B1094" t="s">
        <v>134</v>
      </c>
      <c r="C1094" t="s">
        <v>122</v>
      </c>
      <c r="D1094" t="s">
        <v>54</v>
      </c>
      <c r="E1094" t="s">
        <v>130</v>
      </c>
      <c r="F1094" s="6">
        <v>721035</v>
      </c>
      <c r="G1094" t="s">
        <v>138</v>
      </c>
    </row>
    <row r="1095" spans="1:7" x14ac:dyDescent="0.2">
      <c r="A1095" s="5">
        <v>46327</v>
      </c>
      <c r="B1095" t="s">
        <v>134</v>
      </c>
      <c r="C1095" t="s">
        <v>122</v>
      </c>
      <c r="D1095" t="s">
        <v>54</v>
      </c>
      <c r="E1095" t="s">
        <v>132</v>
      </c>
      <c r="F1095" s="6">
        <v>388250</v>
      </c>
      <c r="G1095" t="s">
        <v>138</v>
      </c>
    </row>
    <row r="1096" spans="1:7" x14ac:dyDescent="0.2">
      <c r="A1096" s="5">
        <v>46327</v>
      </c>
      <c r="B1096" t="s">
        <v>134</v>
      </c>
      <c r="C1096" t="s">
        <v>122</v>
      </c>
      <c r="D1096" t="s">
        <v>58</v>
      </c>
      <c r="E1096" t="s">
        <v>133</v>
      </c>
      <c r="F1096" s="6">
        <v>110928</v>
      </c>
      <c r="G1096" t="s">
        <v>138</v>
      </c>
    </row>
    <row r="1097" spans="1:7" x14ac:dyDescent="0.2">
      <c r="A1097" s="5">
        <v>46327</v>
      </c>
      <c r="B1097" t="s">
        <v>134</v>
      </c>
      <c r="C1097" t="s">
        <v>97</v>
      </c>
      <c r="D1097" t="s">
        <v>67</v>
      </c>
      <c r="F1097" s="6">
        <v>127050</v>
      </c>
      <c r="G1097" t="s">
        <v>138</v>
      </c>
    </row>
    <row r="1098" spans="1:7" x14ac:dyDescent="0.2">
      <c r="A1098" s="5">
        <v>46327</v>
      </c>
      <c r="B1098" t="s">
        <v>134</v>
      </c>
      <c r="C1098" t="s">
        <v>97</v>
      </c>
      <c r="D1098" t="s">
        <v>71</v>
      </c>
      <c r="F1098" s="6">
        <v>27951</v>
      </c>
      <c r="G1098" t="s">
        <v>138</v>
      </c>
    </row>
    <row r="1099" spans="1:7" x14ac:dyDescent="0.2">
      <c r="A1099" s="5">
        <v>46327</v>
      </c>
      <c r="B1099" t="s">
        <v>134</v>
      </c>
      <c r="C1099" t="s">
        <v>97</v>
      </c>
      <c r="D1099" t="s">
        <v>73</v>
      </c>
      <c r="F1099" s="6">
        <v>44468</v>
      </c>
      <c r="G1099" t="s">
        <v>138</v>
      </c>
    </row>
    <row r="1100" spans="1:7" x14ac:dyDescent="0.2">
      <c r="A1100" s="5">
        <v>46327</v>
      </c>
      <c r="B1100" t="s">
        <v>134</v>
      </c>
      <c r="C1100" t="s">
        <v>97</v>
      </c>
      <c r="D1100" t="s">
        <v>75</v>
      </c>
      <c r="F1100" s="6">
        <v>12705</v>
      </c>
      <c r="G1100" t="s">
        <v>138</v>
      </c>
    </row>
    <row r="1101" spans="1:7" x14ac:dyDescent="0.2">
      <c r="A1101" s="5">
        <v>46327</v>
      </c>
      <c r="B1101" t="s">
        <v>134</v>
      </c>
      <c r="C1101" t="s">
        <v>97</v>
      </c>
      <c r="D1101" t="s">
        <v>76</v>
      </c>
      <c r="F1101" s="6">
        <v>7623</v>
      </c>
      <c r="G1101" t="s">
        <v>138</v>
      </c>
    </row>
    <row r="1102" spans="1:7" x14ac:dyDescent="0.2">
      <c r="A1102" s="5">
        <v>46327</v>
      </c>
      <c r="B1102" t="s">
        <v>134</v>
      </c>
      <c r="C1102" t="s">
        <v>97</v>
      </c>
      <c r="D1102" t="s">
        <v>79</v>
      </c>
      <c r="F1102" s="6">
        <v>10164</v>
      </c>
      <c r="G1102" t="s">
        <v>138</v>
      </c>
    </row>
    <row r="1103" spans="1:7" x14ac:dyDescent="0.2">
      <c r="A1103" s="5">
        <v>46327</v>
      </c>
      <c r="B1103" t="s">
        <v>134</v>
      </c>
      <c r="C1103" t="s">
        <v>97</v>
      </c>
      <c r="D1103" t="s">
        <v>87</v>
      </c>
      <c r="F1103" s="6">
        <v>3811</v>
      </c>
      <c r="G1103" t="s">
        <v>138</v>
      </c>
    </row>
    <row r="1104" spans="1:7" x14ac:dyDescent="0.2">
      <c r="A1104" s="5">
        <v>46327</v>
      </c>
      <c r="B1104" t="s">
        <v>134</v>
      </c>
      <c r="C1104" t="s">
        <v>97</v>
      </c>
      <c r="D1104" t="s">
        <v>91</v>
      </c>
      <c r="F1104" s="6">
        <v>2541</v>
      </c>
      <c r="G1104" t="s">
        <v>138</v>
      </c>
    </row>
    <row r="1105" spans="1:7" x14ac:dyDescent="0.2">
      <c r="A1105" s="5">
        <v>46327</v>
      </c>
      <c r="B1105" t="s">
        <v>134</v>
      </c>
      <c r="C1105" t="s">
        <v>102</v>
      </c>
      <c r="D1105" t="s">
        <v>67</v>
      </c>
      <c r="F1105" s="6">
        <v>57750</v>
      </c>
      <c r="G1105" t="s">
        <v>138</v>
      </c>
    </row>
    <row r="1106" spans="1:7" x14ac:dyDescent="0.2">
      <c r="A1106" s="5">
        <v>46327</v>
      </c>
      <c r="B1106" t="s">
        <v>134</v>
      </c>
      <c r="C1106" t="s">
        <v>102</v>
      </c>
      <c r="D1106" t="s">
        <v>71</v>
      </c>
      <c r="F1106" s="6">
        <v>12705</v>
      </c>
      <c r="G1106" t="s">
        <v>138</v>
      </c>
    </row>
    <row r="1107" spans="1:7" x14ac:dyDescent="0.2">
      <c r="A1107" s="5">
        <v>46327</v>
      </c>
      <c r="B1107" t="s">
        <v>134</v>
      </c>
      <c r="C1107" t="s">
        <v>102</v>
      </c>
      <c r="D1107" t="s">
        <v>75</v>
      </c>
      <c r="F1107" s="6">
        <v>5775</v>
      </c>
      <c r="G1107" t="s">
        <v>138</v>
      </c>
    </row>
    <row r="1108" spans="1:7" x14ac:dyDescent="0.2">
      <c r="A1108" s="5">
        <v>46327</v>
      </c>
      <c r="B1108" t="s">
        <v>134</v>
      </c>
      <c r="C1108" t="s">
        <v>102</v>
      </c>
      <c r="D1108" t="s">
        <v>76</v>
      </c>
      <c r="F1108" s="6">
        <v>3465</v>
      </c>
      <c r="G1108" t="s">
        <v>138</v>
      </c>
    </row>
    <row r="1109" spans="1:7" x14ac:dyDescent="0.2">
      <c r="A1109" s="5">
        <v>46327</v>
      </c>
      <c r="B1109" t="s">
        <v>134</v>
      </c>
      <c r="C1109" t="s">
        <v>102</v>
      </c>
      <c r="D1109" t="s">
        <v>79</v>
      </c>
      <c r="F1109" s="6">
        <v>4620</v>
      </c>
      <c r="G1109" t="s">
        <v>138</v>
      </c>
    </row>
    <row r="1110" spans="1:7" x14ac:dyDescent="0.2">
      <c r="A1110" s="5">
        <v>46327</v>
      </c>
      <c r="B1110" t="s">
        <v>134</v>
      </c>
      <c r="C1110" t="s">
        <v>102</v>
      </c>
      <c r="D1110" t="s">
        <v>81</v>
      </c>
      <c r="F1110" s="6">
        <v>77962</v>
      </c>
      <c r="G1110" t="s">
        <v>138</v>
      </c>
    </row>
    <row r="1111" spans="1:7" x14ac:dyDescent="0.2">
      <c r="A1111" s="5">
        <v>46327</v>
      </c>
      <c r="B1111" t="s">
        <v>134</v>
      </c>
      <c r="C1111" t="s">
        <v>102</v>
      </c>
      <c r="D1111" t="s">
        <v>87</v>
      </c>
      <c r="F1111" s="6">
        <v>1732</v>
      </c>
      <c r="G1111" t="s">
        <v>138</v>
      </c>
    </row>
    <row r="1112" spans="1:7" x14ac:dyDescent="0.2">
      <c r="A1112" s="5">
        <v>46327</v>
      </c>
      <c r="B1112" t="s">
        <v>134</v>
      </c>
      <c r="C1112" t="s">
        <v>102</v>
      </c>
      <c r="D1112" t="s">
        <v>91</v>
      </c>
      <c r="F1112" s="6">
        <v>1155</v>
      </c>
      <c r="G1112" t="s">
        <v>138</v>
      </c>
    </row>
    <row r="1113" spans="1:7" x14ac:dyDescent="0.2">
      <c r="A1113" s="5">
        <v>46327</v>
      </c>
      <c r="B1113" t="s">
        <v>134</v>
      </c>
      <c r="C1113" t="s">
        <v>106</v>
      </c>
      <c r="D1113" t="s">
        <v>65</v>
      </c>
      <c r="F1113" s="6">
        <v>26180</v>
      </c>
      <c r="G1113" t="s">
        <v>138</v>
      </c>
    </row>
    <row r="1114" spans="1:7" x14ac:dyDescent="0.2">
      <c r="A1114" s="5">
        <v>46327</v>
      </c>
      <c r="B1114" t="s">
        <v>134</v>
      </c>
      <c r="C1114" t="s">
        <v>106</v>
      </c>
      <c r="D1114" t="s">
        <v>67</v>
      </c>
      <c r="F1114" s="6">
        <v>65450</v>
      </c>
      <c r="G1114" t="s">
        <v>138</v>
      </c>
    </row>
    <row r="1115" spans="1:7" x14ac:dyDescent="0.2">
      <c r="A1115" s="5">
        <v>46327</v>
      </c>
      <c r="B1115" t="s">
        <v>134</v>
      </c>
      <c r="C1115" t="s">
        <v>106</v>
      </c>
      <c r="D1115" t="s">
        <v>71</v>
      </c>
      <c r="F1115" s="6">
        <v>14399</v>
      </c>
      <c r="G1115" t="s">
        <v>138</v>
      </c>
    </row>
    <row r="1116" spans="1:7" x14ac:dyDescent="0.2">
      <c r="A1116" s="5">
        <v>46327</v>
      </c>
      <c r="B1116" t="s">
        <v>134</v>
      </c>
      <c r="C1116" t="s">
        <v>106</v>
      </c>
      <c r="D1116" t="s">
        <v>75</v>
      </c>
      <c r="F1116" s="6">
        <v>6545</v>
      </c>
      <c r="G1116" t="s">
        <v>138</v>
      </c>
    </row>
    <row r="1117" spans="1:7" x14ac:dyDescent="0.2">
      <c r="A1117" s="5">
        <v>46327</v>
      </c>
      <c r="B1117" t="s">
        <v>134</v>
      </c>
      <c r="C1117" t="s">
        <v>106</v>
      </c>
      <c r="D1117" t="s">
        <v>76</v>
      </c>
      <c r="F1117" s="6">
        <v>3927</v>
      </c>
      <c r="G1117" t="s">
        <v>138</v>
      </c>
    </row>
    <row r="1118" spans="1:7" x14ac:dyDescent="0.2">
      <c r="A1118" s="5">
        <v>46327</v>
      </c>
      <c r="B1118" t="s">
        <v>134</v>
      </c>
      <c r="C1118" t="s">
        <v>106</v>
      </c>
      <c r="D1118" t="s">
        <v>79</v>
      </c>
      <c r="F1118" s="6">
        <v>2618</v>
      </c>
      <c r="G1118" t="s">
        <v>138</v>
      </c>
    </row>
    <row r="1119" spans="1:7" x14ac:dyDescent="0.2">
      <c r="A1119" s="5">
        <v>46327</v>
      </c>
      <c r="B1119" t="s">
        <v>134</v>
      </c>
      <c r="C1119" t="s">
        <v>106</v>
      </c>
      <c r="D1119" t="s">
        <v>87</v>
      </c>
      <c r="F1119" s="6">
        <v>1963</v>
      </c>
      <c r="G1119" t="s">
        <v>138</v>
      </c>
    </row>
    <row r="1120" spans="1:7" x14ac:dyDescent="0.2">
      <c r="A1120" s="5">
        <v>46327</v>
      </c>
      <c r="B1120" t="s">
        <v>134</v>
      </c>
      <c r="C1120" t="s">
        <v>106</v>
      </c>
      <c r="D1120" t="s">
        <v>91</v>
      </c>
      <c r="F1120" s="6">
        <v>1309</v>
      </c>
      <c r="G1120" t="s">
        <v>138</v>
      </c>
    </row>
    <row r="1121" spans="1:7" x14ac:dyDescent="0.2">
      <c r="A1121" s="5">
        <v>46327</v>
      </c>
      <c r="B1121" t="s">
        <v>134</v>
      </c>
      <c r="C1121" t="s">
        <v>110</v>
      </c>
      <c r="D1121" t="s">
        <v>61</v>
      </c>
      <c r="F1121" s="6">
        <v>200200</v>
      </c>
      <c r="G1121" t="s">
        <v>138</v>
      </c>
    </row>
    <row r="1122" spans="1:7" x14ac:dyDescent="0.2">
      <c r="A1122" s="5">
        <v>46327</v>
      </c>
      <c r="B1122" t="s">
        <v>134</v>
      </c>
      <c r="C1122" t="s">
        <v>110</v>
      </c>
      <c r="D1122" t="s">
        <v>67</v>
      </c>
      <c r="F1122" s="6">
        <v>200200</v>
      </c>
      <c r="G1122" t="s">
        <v>138</v>
      </c>
    </row>
    <row r="1123" spans="1:7" x14ac:dyDescent="0.2">
      <c r="A1123" s="5">
        <v>46327</v>
      </c>
      <c r="B1123" t="s">
        <v>134</v>
      </c>
      <c r="C1123" t="s">
        <v>110</v>
      </c>
      <c r="D1123" t="s">
        <v>71</v>
      </c>
      <c r="F1123" s="6">
        <v>44044</v>
      </c>
      <c r="G1123" t="s">
        <v>138</v>
      </c>
    </row>
    <row r="1124" spans="1:7" x14ac:dyDescent="0.2">
      <c r="A1124" s="5">
        <v>46327</v>
      </c>
      <c r="B1124" t="s">
        <v>134</v>
      </c>
      <c r="C1124" t="s">
        <v>110</v>
      </c>
      <c r="D1124" t="s">
        <v>75</v>
      </c>
      <c r="F1124" s="6">
        <v>20020</v>
      </c>
      <c r="G1124" t="s">
        <v>138</v>
      </c>
    </row>
    <row r="1125" spans="1:7" x14ac:dyDescent="0.2">
      <c r="A1125" s="5">
        <v>46327</v>
      </c>
      <c r="B1125" t="s">
        <v>134</v>
      </c>
      <c r="C1125" t="s">
        <v>110</v>
      </c>
      <c r="D1125" t="s">
        <v>76</v>
      </c>
      <c r="F1125" s="6">
        <v>12012</v>
      </c>
      <c r="G1125" t="s">
        <v>138</v>
      </c>
    </row>
    <row r="1126" spans="1:7" x14ac:dyDescent="0.2">
      <c r="A1126" s="5">
        <v>46327</v>
      </c>
      <c r="B1126" t="s">
        <v>134</v>
      </c>
      <c r="C1126" t="s">
        <v>110</v>
      </c>
      <c r="D1126" t="s">
        <v>79</v>
      </c>
      <c r="F1126" s="6">
        <v>8008</v>
      </c>
      <c r="G1126" t="s">
        <v>138</v>
      </c>
    </row>
    <row r="1127" spans="1:7" x14ac:dyDescent="0.2">
      <c r="A1127" s="5">
        <v>46327</v>
      </c>
      <c r="B1127" t="s">
        <v>134</v>
      </c>
      <c r="C1127" t="s">
        <v>110</v>
      </c>
      <c r="D1127" t="s">
        <v>87</v>
      </c>
      <c r="F1127" s="6">
        <v>6006</v>
      </c>
      <c r="G1127" t="s">
        <v>138</v>
      </c>
    </row>
    <row r="1128" spans="1:7" x14ac:dyDescent="0.2">
      <c r="A1128" s="5">
        <v>46327</v>
      </c>
      <c r="B1128" t="s">
        <v>134</v>
      </c>
      <c r="C1128" t="s">
        <v>110</v>
      </c>
      <c r="D1128" t="s">
        <v>89</v>
      </c>
      <c r="F1128" s="6">
        <v>34034</v>
      </c>
      <c r="G1128" t="s">
        <v>138</v>
      </c>
    </row>
    <row r="1129" spans="1:7" x14ac:dyDescent="0.2">
      <c r="A1129" s="5">
        <v>46327</v>
      </c>
      <c r="B1129" t="s">
        <v>134</v>
      </c>
      <c r="C1129" t="s">
        <v>110</v>
      </c>
      <c r="D1129" t="s">
        <v>91</v>
      </c>
      <c r="F1129" s="6">
        <v>4004</v>
      </c>
      <c r="G1129" t="s">
        <v>138</v>
      </c>
    </row>
    <row r="1130" spans="1:7" x14ac:dyDescent="0.2">
      <c r="A1130" s="5">
        <v>46327</v>
      </c>
      <c r="B1130" t="s">
        <v>134</v>
      </c>
      <c r="C1130" t="s">
        <v>114</v>
      </c>
      <c r="D1130" t="s">
        <v>67</v>
      </c>
      <c r="F1130" s="6">
        <v>53900</v>
      </c>
      <c r="G1130" t="s">
        <v>138</v>
      </c>
    </row>
    <row r="1131" spans="1:7" x14ac:dyDescent="0.2">
      <c r="A1131" s="5">
        <v>46327</v>
      </c>
      <c r="B1131" t="s">
        <v>134</v>
      </c>
      <c r="C1131" t="s">
        <v>114</v>
      </c>
      <c r="D1131" t="s">
        <v>71</v>
      </c>
      <c r="F1131" s="6">
        <v>11858</v>
      </c>
      <c r="G1131" t="s">
        <v>138</v>
      </c>
    </row>
    <row r="1132" spans="1:7" x14ac:dyDescent="0.2">
      <c r="A1132" s="5">
        <v>46327</v>
      </c>
      <c r="B1132" t="s">
        <v>134</v>
      </c>
      <c r="C1132" t="s">
        <v>114</v>
      </c>
      <c r="D1132" t="s">
        <v>75</v>
      </c>
      <c r="F1132" s="6">
        <v>5390</v>
      </c>
      <c r="G1132" t="s">
        <v>138</v>
      </c>
    </row>
    <row r="1133" spans="1:7" x14ac:dyDescent="0.2">
      <c r="A1133" s="5">
        <v>46327</v>
      </c>
      <c r="B1133" t="s">
        <v>134</v>
      </c>
      <c r="C1133" t="s">
        <v>114</v>
      </c>
      <c r="D1133" t="s">
        <v>76</v>
      </c>
      <c r="F1133" s="6">
        <v>3234</v>
      </c>
      <c r="G1133" t="s">
        <v>138</v>
      </c>
    </row>
    <row r="1134" spans="1:7" x14ac:dyDescent="0.2">
      <c r="A1134" s="5">
        <v>46327</v>
      </c>
      <c r="B1134" t="s">
        <v>134</v>
      </c>
      <c r="C1134" t="s">
        <v>114</v>
      </c>
      <c r="D1134" t="s">
        <v>79</v>
      </c>
      <c r="F1134" s="6">
        <v>2156</v>
      </c>
      <c r="G1134" t="s">
        <v>138</v>
      </c>
    </row>
    <row r="1135" spans="1:7" x14ac:dyDescent="0.2">
      <c r="A1135" s="5">
        <v>46327</v>
      </c>
      <c r="B1135" t="s">
        <v>134</v>
      </c>
      <c r="C1135" t="s">
        <v>114</v>
      </c>
      <c r="D1135" t="s">
        <v>87</v>
      </c>
      <c r="F1135" s="6">
        <v>1617</v>
      </c>
      <c r="G1135" t="s">
        <v>138</v>
      </c>
    </row>
    <row r="1136" spans="1:7" x14ac:dyDescent="0.2">
      <c r="A1136" s="5">
        <v>46327</v>
      </c>
      <c r="B1136" t="s">
        <v>134</v>
      </c>
      <c r="C1136" t="s">
        <v>114</v>
      </c>
      <c r="D1136" t="s">
        <v>91</v>
      </c>
      <c r="F1136" s="6">
        <v>1078</v>
      </c>
      <c r="G1136" t="s">
        <v>138</v>
      </c>
    </row>
    <row r="1137" spans="1:7" x14ac:dyDescent="0.2">
      <c r="A1137" s="5">
        <v>46327</v>
      </c>
      <c r="B1137" t="s">
        <v>134</v>
      </c>
      <c r="C1137" t="s">
        <v>118</v>
      </c>
      <c r="D1137" t="s">
        <v>67</v>
      </c>
      <c r="F1137" s="6">
        <v>84700</v>
      </c>
      <c r="G1137" t="s">
        <v>138</v>
      </c>
    </row>
    <row r="1138" spans="1:7" x14ac:dyDescent="0.2">
      <c r="A1138" s="5">
        <v>46327</v>
      </c>
      <c r="B1138" t="s">
        <v>134</v>
      </c>
      <c r="C1138" t="s">
        <v>118</v>
      </c>
      <c r="D1138" t="s">
        <v>71</v>
      </c>
      <c r="F1138" s="6">
        <v>18634</v>
      </c>
      <c r="G1138" t="s">
        <v>138</v>
      </c>
    </row>
    <row r="1139" spans="1:7" x14ac:dyDescent="0.2">
      <c r="A1139" s="5">
        <v>46327</v>
      </c>
      <c r="B1139" t="s">
        <v>134</v>
      </c>
      <c r="C1139" t="s">
        <v>118</v>
      </c>
      <c r="D1139" t="s">
        <v>75</v>
      </c>
      <c r="F1139" s="6">
        <v>8470</v>
      </c>
      <c r="G1139" t="s">
        <v>138</v>
      </c>
    </row>
    <row r="1140" spans="1:7" x14ac:dyDescent="0.2">
      <c r="A1140" s="5">
        <v>46327</v>
      </c>
      <c r="B1140" t="s">
        <v>134</v>
      </c>
      <c r="C1140" t="s">
        <v>118</v>
      </c>
      <c r="D1140" t="s">
        <v>76</v>
      </c>
      <c r="F1140" s="6">
        <v>5082</v>
      </c>
      <c r="G1140" t="s">
        <v>138</v>
      </c>
    </row>
    <row r="1141" spans="1:7" x14ac:dyDescent="0.2">
      <c r="A1141" s="5">
        <v>46327</v>
      </c>
      <c r="B1141" t="s">
        <v>134</v>
      </c>
      <c r="C1141" t="s">
        <v>118</v>
      </c>
      <c r="D1141" t="s">
        <v>79</v>
      </c>
      <c r="F1141" s="6">
        <v>3388</v>
      </c>
      <c r="G1141" t="s">
        <v>138</v>
      </c>
    </row>
    <row r="1142" spans="1:7" x14ac:dyDescent="0.2">
      <c r="A1142" s="5">
        <v>46327</v>
      </c>
      <c r="B1142" t="s">
        <v>134</v>
      </c>
      <c r="C1142" t="s">
        <v>118</v>
      </c>
      <c r="D1142" t="s">
        <v>83</v>
      </c>
      <c r="F1142" s="6">
        <v>49126</v>
      </c>
      <c r="G1142" t="s">
        <v>138</v>
      </c>
    </row>
    <row r="1143" spans="1:7" x14ac:dyDescent="0.2">
      <c r="A1143" s="5">
        <v>46327</v>
      </c>
      <c r="B1143" t="s">
        <v>134</v>
      </c>
      <c r="C1143" t="s">
        <v>118</v>
      </c>
      <c r="D1143" t="s">
        <v>85</v>
      </c>
      <c r="F1143" s="6">
        <v>27104</v>
      </c>
      <c r="G1143" t="s">
        <v>138</v>
      </c>
    </row>
    <row r="1144" spans="1:7" x14ac:dyDescent="0.2">
      <c r="A1144" s="5">
        <v>46327</v>
      </c>
      <c r="B1144" t="s">
        <v>134</v>
      </c>
      <c r="C1144" t="s">
        <v>118</v>
      </c>
      <c r="D1144" t="s">
        <v>87</v>
      </c>
      <c r="F1144" s="6">
        <v>2541</v>
      </c>
      <c r="G1144" t="s">
        <v>138</v>
      </c>
    </row>
    <row r="1145" spans="1:7" x14ac:dyDescent="0.2">
      <c r="A1145" s="5">
        <v>46327</v>
      </c>
      <c r="B1145" t="s">
        <v>134</v>
      </c>
      <c r="C1145" t="s">
        <v>118</v>
      </c>
      <c r="D1145" t="s">
        <v>91</v>
      </c>
      <c r="F1145" s="6">
        <v>1694</v>
      </c>
      <c r="G1145" t="s">
        <v>138</v>
      </c>
    </row>
    <row r="1146" spans="1:7" x14ac:dyDescent="0.2">
      <c r="A1146" s="5">
        <v>46357</v>
      </c>
      <c r="B1146" t="s">
        <v>129</v>
      </c>
      <c r="C1146" t="s">
        <v>122</v>
      </c>
      <c r="D1146" t="s">
        <v>54</v>
      </c>
      <c r="E1146" t="s">
        <v>130</v>
      </c>
      <c r="F1146" s="6">
        <v>2101303</v>
      </c>
      <c r="G1146" t="s">
        <v>138</v>
      </c>
    </row>
    <row r="1147" spans="1:7" x14ac:dyDescent="0.2">
      <c r="A1147" s="5">
        <v>46357</v>
      </c>
      <c r="B1147" t="s">
        <v>129</v>
      </c>
      <c r="C1147" t="s">
        <v>122</v>
      </c>
      <c r="D1147" t="s">
        <v>54</v>
      </c>
      <c r="E1147" t="s">
        <v>132</v>
      </c>
      <c r="F1147" s="6">
        <v>1131471</v>
      </c>
      <c r="G1147" t="s">
        <v>138</v>
      </c>
    </row>
    <row r="1148" spans="1:7" x14ac:dyDescent="0.2">
      <c r="A1148" s="5">
        <v>46357</v>
      </c>
      <c r="B1148" t="s">
        <v>129</v>
      </c>
      <c r="C1148" t="s">
        <v>122</v>
      </c>
      <c r="D1148" t="s">
        <v>58</v>
      </c>
      <c r="E1148" t="s">
        <v>133</v>
      </c>
      <c r="F1148" s="6">
        <v>323277</v>
      </c>
      <c r="G1148" t="s">
        <v>138</v>
      </c>
    </row>
    <row r="1149" spans="1:7" x14ac:dyDescent="0.2">
      <c r="A1149" s="5">
        <v>46357</v>
      </c>
      <c r="B1149" t="s">
        <v>129</v>
      </c>
      <c r="C1149" t="s">
        <v>97</v>
      </c>
      <c r="D1149" t="s">
        <v>67</v>
      </c>
      <c r="F1149" s="6">
        <v>366300</v>
      </c>
      <c r="G1149" t="s">
        <v>138</v>
      </c>
    </row>
    <row r="1150" spans="1:7" x14ac:dyDescent="0.2">
      <c r="A1150" s="5">
        <v>46357</v>
      </c>
      <c r="B1150" t="s">
        <v>129</v>
      </c>
      <c r="C1150" t="s">
        <v>97</v>
      </c>
      <c r="D1150" t="s">
        <v>71</v>
      </c>
      <c r="F1150" s="6">
        <v>80586</v>
      </c>
      <c r="G1150" t="s">
        <v>138</v>
      </c>
    </row>
    <row r="1151" spans="1:7" x14ac:dyDescent="0.2">
      <c r="A1151" s="5">
        <v>46357</v>
      </c>
      <c r="B1151" t="s">
        <v>129</v>
      </c>
      <c r="C1151" t="s">
        <v>97</v>
      </c>
      <c r="D1151" t="s">
        <v>73</v>
      </c>
      <c r="F1151" s="6">
        <v>128205</v>
      </c>
      <c r="G1151" t="s">
        <v>138</v>
      </c>
    </row>
    <row r="1152" spans="1:7" x14ac:dyDescent="0.2">
      <c r="A1152" s="5">
        <v>46357</v>
      </c>
      <c r="B1152" t="s">
        <v>129</v>
      </c>
      <c r="C1152" t="s">
        <v>97</v>
      </c>
      <c r="D1152" t="s">
        <v>75</v>
      </c>
      <c r="F1152" s="6">
        <v>36630</v>
      </c>
      <c r="G1152" t="s">
        <v>138</v>
      </c>
    </row>
    <row r="1153" spans="1:7" x14ac:dyDescent="0.2">
      <c r="A1153" s="5">
        <v>46357</v>
      </c>
      <c r="B1153" t="s">
        <v>129</v>
      </c>
      <c r="C1153" t="s">
        <v>97</v>
      </c>
      <c r="D1153" t="s">
        <v>76</v>
      </c>
      <c r="F1153" s="6">
        <v>21978</v>
      </c>
      <c r="G1153" t="s">
        <v>138</v>
      </c>
    </row>
    <row r="1154" spans="1:7" x14ac:dyDescent="0.2">
      <c r="A1154" s="5">
        <v>46357</v>
      </c>
      <c r="B1154" t="s">
        <v>129</v>
      </c>
      <c r="C1154" t="s">
        <v>97</v>
      </c>
      <c r="D1154" t="s">
        <v>79</v>
      </c>
      <c r="F1154" s="6">
        <v>29304</v>
      </c>
      <c r="G1154" t="s">
        <v>138</v>
      </c>
    </row>
    <row r="1155" spans="1:7" x14ac:dyDescent="0.2">
      <c r="A1155" s="5">
        <v>46357</v>
      </c>
      <c r="B1155" t="s">
        <v>129</v>
      </c>
      <c r="C1155" t="s">
        <v>97</v>
      </c>
      <c r="D1155" t="s">
        <v>87</v>
      </c>
      <c r="F1155" s="6">
        <v>10989</v>
      </c>
      <c r="G1155" t="s">
        <v>138</v>
      </c>
    </row>
    <row r="1156" spans="1:7" x14ac:dyDescent="0.2">
      <c r="A1156" s="5">
        <v>46357</v>
      </c>
      <c r="B1156" t="s">
        <v>129</v>
      </c>
      <c r="C1156" t="s">
        <v>97</v>
      </c>
      <c r="D1156" t="s">
        <v>91</v>
      </c>
      <c r="F1156" s="6">
        <v>7326</v>
      </c>
      <c r="G1156" t="s">
        <v>138</v>
      </c>
    </row>
    <row r="1157" spans="1:7" x14ac:dyDescent="0.2">
      <c r="A1157" s="5">
        <v>46357</v>
      </c>
      <c r="B1157" t="s">
        <v>129</v>
      </c>
      <c r="C1157" t="s">
        <v>102</v>
      </c>
      <c r="D1157" t="s">
        <v>67</v>
      </c>
      <c r="F1157" s="6">
        <v>166500</v>
      </c>
      <c r="G1157" t="s">
        <v>138</v>
      </c>
    </row>
    <row r="1158" spans="1:7" x14ac:dyDescent="0.2">
      <c r="A1158" s="5">
        <v>46357</v>
      </c>
      <c r="B1158" t="s">
        <v>129</v>
      </c>
      <c r="C1158" t="s">
        <v>102</v>
      </c>
      <c r="D1158" t="s">
        <v>71</v>
      </c>
      <c r="F1158" s="6">
        <v>36630</v>
      </c>
      <c r="G1158" t="s">
        <v>138</v>
      </c>
    </row>
    <row r="1159" spans="1:7" x14ac:dyDescent="0.2">
      <c r="A1159" s="5">
        <v>46357</v>
      </c>
      <c r="B1159" t="s">
        <v>129</v>
      </c>
      <c r="C1159" t="s">
        <v>102</v>
      </c>
      <c r="D1159" t="s">
        <v>75</v>
      </c>
      <c r="F1159" s="6">
        <v>16650</v>
      </c>
      <c r="G1159" t="s">
        <v>138</v>
      </c>
    </row>
    <row r="1160" spans="1:7" x14ac:dyDescent="0.2">
      <c r="A1160" s="5">
        <v>46357</v>
      </c>
      <c r="B1160" t="s">
        <v>129</v>
      </c>
      <c r="C1160" t="s">
        <v>102</v>
      </c>
      <c r="D1160" t="s">
        <v>76</v>
      </c>
      <c r="F1160" s="6">
        <v>9990</v>
      </c>
      <c r="G1160" t="s">
        <v>138</v>
      </c>
    </row>
    <row r="1161" spans="1:7" x14ac:dyDescent="0.2">
      <c r="A1161" s="5">
        <v>46357</v>
      </c>
      <c r="B1161" t="s">
        <v>129</v>
      </c>
      <c r="C1161" t="s">
        <v>102</v>
      </c>
      <c r="D1161" t="s">
        <v>79</v>
      </c>
      <c r="F1161" s="6">
        <v>13320</v>
      </c>
      <c r="G1161" t="s">
        <v>138</v>
      </c>
    </row>
    <row r="1162" spans="1:7" x14ac:dyDescent="0.2">
      <c r="A1162" s="5">
        <v>46357</v>
      </c>
      <c r="B1162" t="s">
        <v>129</v>
      </c>
      <c r="C1162" t="s">
        <v>102</v>
      </c>
      <c r="D1162" t="s">
        <v>81</v>
      </c>
      <c r="F1162" s="6">
        <v>224775</v>
      </c>
      <c r="G1162" t="s">
        <v>138</v>
      </c>
    </row>
    <row r="1163" spans="1:7" x14ac:dyDescent="0.2">
      <c r="A1163" s="5">
        <v>46357</v>
      </c>
      <c r="B1163" t="s">
        <v>129</v>
      </c>
      <c r="C1163" t="s">
        <v>102</v>
      </c>
      <c r="D1163" t="s">
        <v>87</v>
      </c>
      <c r="F1163" s="6">
        <v>4995</v>
      </c>
      <c r="G1163" t="s">
        <v>138</v>
      </c>
    </row>
    <row r="1164" spans="1:7" x14ac:dyDescent="0.2">
      <c r="A1164" s="5">
        <v>46357</v>
      </c>
      <c r="B1164" t="s">
        <v>129</v>
      </c>
      <c r="C1164" t="s">
        <v>102</v>
      </c>
      <c r="D1164" t="s">
        <v>91</v>
      </c>
      <c r="F1164" s="6">
        <v>3330</v>
      </c>
      <c r="G1164" t="s">
        <v>138</v>
      </c>
    </row>
    <row r="1165" spans="1:7" x14ac:dyDescent="0.2">
      <c r="A1165" s="5">
        <v>46357</v>
      </c>
      <c r="B1165" t="s">
        <v>129</v>
      </c>
      <c r="C1165" t="s">
        <v>106</v>
      </c>
      <c r="D1165" t="s">
        <v>65</v>
      </c>
      <c r="F1165" s="6">
        <v>75480</v>
      </c>
      <c r="G1165" t="s">
        <v>138</v>
      </c>
    </row>
    <row r="1166" spans="1:7" x14ac:dyDescent="0.2">
      <c r="A1166" s="5">
        <v>46357</v>
      </c>
      <c r="B1166" t="s">
        <v>129</v>
      </c>
      <c r="C1166" t="s">
        <v>106</v>
      </c>
      <c r="D1166" t="s">
        <v>67</v>
      </c>
      <c r="F1166" s="6">
        <v>188700</v>
      </c>
      <c r="G1166" t="s">
        <v>138</v>
      </c>
    </row>
    <row r="1167" spans="1:7" x14ac:dyDescent="0.2">
      <c r="A1167" s="5">
        <v>46357</v>
      </c>
      <c r="B1167" t="s">
        <v>129</v>
      </c>
      <c r="C1167" t="s">
        <v>106</v>
      </c>
      <c r="D1167" t="s">
        <v>71</v>
      </c>
      <c r="F1167" s="6">
        <v>41514</v>
      </c>
      <c r="G1167" t="s">
        <v>138</v>
      </c>
    </row>
    <row r="1168" spans="1:7" x14ac:dyDescent="0.2">
      <c r="A1168" s="5">
        <v>46357</v>
      </c>
      <c r="B1168" t="s">
        <v>129</v>
      </c>
      <c r="C1168" t="s">
        <v>106</v>
      </c>
      <c r="D1168" t="s">
        <v>75</v>
      </c>
      <c r="F1168" s="6">
        <v>18870</v>
      </c>
      <c r="G1168" t="s">
        <v>138</v>
      </c>
    </row>
    <row r="1169" spans="1:7" x14ac:dyDescent="0.2">
      <c r="A1169" s="5">
        <v>46357</v>
      </c>
      <c r="B1169" t="s">
        <v>129</v>
      </c>
      <c r="C1169" t="s">
        <v>106</v>
      </c>
      <c r="D1169" t="s">
        <v>76</v>
      </c>
      <c r="F1169" s="6">
        <v>11322</v>
      </c>
      <c r="G1169" t="s">
        <v>138</v>
      </c>
    </row>
    <row r="1170" spans="1:7" x14ac:dyDescent="0.2">
      <c r="A1170" s="5">
        <v>46357</v>
      </c>
      <c r="B1170" t="s">
        <v>129</v>
      </c>
      <c r="C1170" t="s">
        <v>106</v>
      </c>
      <c r="D1170" t="s">
        <v>79</v>
      </c>
      <c r="F1170" s="6">
        <v>7548</v>
      </c>
      <c r="G1170" t="s">
        <v>138</v>
      </c>
    </row>
    <row r="1171" spans="1:7" x14ac:dyDescent="0.2">
      <c r="A1171" s="5">
        <v>46357</v>
      </c>
      <c r="B1171" t="s">
        <v>129</v>
      </c>
      <c r="C1171" t="s">
        <v>106</v>
      </c>
      <c r="D1171" t="s">
        <v>87</v>
      </c>
      <c r="F1171" s="6">
        <v>5661</v>
      </c>
      <c r="G1171" t="s">
        <v>138</v>
      </c>
    </row>
    <row r="1172" spans="1:7" x14ac:dyDescent="0.2">
      <c r="A1172" s="5">
        <v>46357</v>
      </c>
      <c r="B1172" t="s">
        <v>129</v>
      </c>
      <c r="C1172" t="s">
        <v>106</v>
      </c>
      <c r="D1172" t="s">
        <v>91</v>
      </c>
      <c r="F1172" s="6">
        <v>3774</v>
      </c>
      <c r="G1172" t="s">
        <v>138</v>
      </c>
    </row>
    <row r="1173" spans="1:7" x14ac:dyDescent="0.2">
      <c r="A1173" s="5">
        <v>46357</v>
      </c>
      <c r="B1173" t="s">
        <v>129</v>
      </c>
      <c r="C1173" t="s">
        <v>110</v>
      </c>
      <c r="D1173" t="s">
        <v>61</v>
      </c>
      <c r="F1173" s="6">
        <v>577200</v>
      </c>
      <c r="G1173" t="s">
        <v>138</v>
      </c>
    </row>
    <row r="1174" spans="1:7" x14ac:dyDescent="0.2">
      <c r="A1174" s="5">
        <v>46357</v>
      </c>
      <c r="B1174" t="s">
        <v>129</v>
      </c>
      <c r="C1174" t="s">
        <v>110</v>
      </c>
      <c r="D1174" t="s">
        <v>67</v>
      </c>
      <c r="F1174" s="6">
        <v>577200</v>
      </c>
      <c r="G1174" t="s">
        <v>138</v>
      </c>
    </row>
    <row r="1175" spans="1:7" x14ac:dyDescent="0.2">
      <c r="A1175" s="5">
        <v>46357</v>
      </c>
      <c r="B1175" t="s">
        <v>129</v>
      </c>
      <c r="C1175" t="s">
        <v>110</v>
      </c>
      <c r="D1175" t="s">
        <v>71</v>
      </c>
      <c r="F1175" s="6">
        <v>126984</v>
      </c>
      <c r="G1175" t="s">
        <v>138</v>
      </c>
    </row>
    <row r="1176" spans="1:7" x14ac:dyDescent="0.2">
      <c r="A1176" s="5">
        <v>46357</v>
      </c>
      <c r="B1176" t="s">
        <v>129</v>
      </c>
      <c r="C1176" t="s">
        <v>110</v>
      </c>
      <c r="D1176" t="s">
        <v>75</v>
      </c>
      <c r="F1176" s="6">
        <v>57720</v>
      </c>
      <c r="G1176" t="s">
        <v>138</v>
      </c>
    </row>
    <row r="1177" spans="1:7" x14ac:dyDescent="0.2">
      <c r="A1177" s="5">
        <v>46357</v>
      </c>
      <c r="B1177" t="s">
        <v>129</v>
      </c>
      <c r="C1177" t="s">
        <v>110</v>
      </c>
      <c r="D1177" t="s">
        <v>76</v>
      </c>
      <c r="F1177" s="6">
        <v>34632</v>
      </c>
      <c r="G1177" t="s">
        <v>138</v>
      </c>
    </row>
    <row r="1178" spans="1:7" x14ac:dyDescent="0.2">
      <c r="A1178" s="5">
        <v>46357</v>
      </c>
      <c r="B1178" t="s">
        <v>129</v>
      </c>
      <c r="C1178" t="s">
        <v>110</v>
      </c>
      <c r="D1178" t="s">
        <v>79</v>
      </c>
      <c r="F1178" s="6">
        <v>23088</v>
      </c>
      <c r="G1178" t="s">
        <v>138</v>
      </c>
    </row>
    <row r="1179" spans="1:7" x14ac:dyDescent="0.2">
      <c r="A1179" s="5">
        <v>46357</v>
      </c>
      <c r="B1179" t="s">
        <v>129</v>
      </c>
      <c r="C1179" t="s">
        <v>110</v>
      </c>
      <c r="D1179" t="s">
        <v>87</v>
      </c>
      <c r="F1179" s="6">
        <v>17316</v>
      </c>
      <c r="G1179" t="s">
        <v>138</v>
      </c>
    </row>
    <row r="1180" spans="1:7" x14ac:dyDescent="0.2">
      <c r="A1180" s="5">
        <v>46357</v>
      </c>
      <c r="B1180" t="s">
        <v>129</v>
      </c>
      <c r="C1180" t="s">
        <v>110</v>
      </c>
      <c r="D1180" t="s">
        <v>89</v>
      </c>
      <c r="F1180" s="6">
        <v>98124</v>
      </c>
      <c r="G1180" t="s">
        <v>138</v>
      </c>
    </row>
    <row r="1181" spans="1:7" x14ac:dyDescent="0.2">
      <c r="A1181" s="5">
        <v>46357</v>
      </c>
      <c r="B1181" t="s">
        <v>129</v>
      </c>
      <c r="C1181" t="s">
        <v>110</v>
      </c>
      <c r="D1181" t="s">
        <v>91</v>
      </c>
      <c r="F1181" s="6">
        <v>11544</v>
      </c>
      <c r="G1181" t="s">
        <v>138</v>
      </c>
    </row>
    <row r="1182" spans="1:7" x14ac:dyDescent="0.2">
      <c r="A1182" s="5">
        <v>46357</v>
      </c>
      <c r="B1182" t="s">
        <v>129</v>
      </c>
      <c r="C1182" t="s">
        <v>114</v>
      </c>
      <c r="D1182" t="s">
        <v>67</v>
      </c>
      <c r="F1182" s="6">
        <v>155400</v>
      </c>
      <c r="G1182" t="s">
        <v>138</v>
      </c>
    </row>
    <row r="1183" spans="1:7" x14ac:dyDescent="0.2">
      <c r="A1183" s="5">
        <v>46357</v>
      </c>
      <c r="B1183" t="s">
        <v>129</v>
      </c>
      <c r="C1183" t="s">
        <v>114</v>
      </c>
      <c r="D1183" t="s">
        <v>71</v>
      </c>
      <c r="F1183" s="6">
        <v>34188</v>
      </c>
      <c r="G1183" t="s">
        <v>138</v>
      </c>
    </row>
    <row r="1184" spans="1:7" x14ac:dyDescent="0.2">
      <c r="A1184" s="5">
        <v>46357</v>
      </c>
      <c r="B1184" t="s">
        <v>129</v>
      </c>
      <c r="C1184" t="s">
        <v>114</v>
      </c>
      <c r="D1184" t="s">
        <v>75</v>
      </c>
      <c r="F1184" s="6">
        <v>15540</v>
      </c>
      <c r="G1184" t="s">
        <v>138</v>
      </c>
    </row>
    <row r="1185" spans="1:7" x14ac:dyDescent="0.2">
      <c r="A1185" s="5">
        <v>46357</v>
      </c>
      <c r="B1185" t="s">
        <v>129</v>
      </c>
      <c r="C1185" t="s">
        <v>114</v>
      </c>
      <c r="D1185" t="s">
        <v>76</v>
      </c>
      <c r="F1185" s="6">
        <v>9324</v>
      </c>
      <c r="G1185" t="s">
        <v>138</v>
      </c>
    </row>
    <row r="1186" spans="1:7" x14ac:dyDescent="0.2">
      <c r="A1186" s="5">
        <v>46357</v>
      </c>
      <c r="B1186" t="s">
        <v>129</v>
      </c>
      <c r="C1186" t="s">
        <v>114</v>
      </c>
      <c r="D1186" t="s">
        <v>79</v>
      </c>
      <c r="F1186" s="6">
        <v>6216</v>
      </c>
      <c r="G1186" t="s">
        <v>138</v>
      </c>
    </row>
    <row r="1187" spans="1:7" x14ac:dyDescent="0.2">
      <c r="A1187" s="5">
        <v>46357</v>
      </c>
      <c r="B1187" t="s">
        <v>129</v>
      </c>
      <c r="C1187" t="s">
        <v>114</v>
      </c>
      <c r="D1187" t="s">
        <v>87</v>
      </c>
      <c r="F1187" s="6">
        <v>4662</v>
      </c>
      <c r="G1187" t="s">
        <v>138</v>
      </c>
    </row>
    <row r="1188" spans="1:7" x14ac:dyDescent="0.2">
      <c r="A1188" s="5">
        <v>46357</v>
      </c>
      <c r="B1188" t="s">
        <v>129</v>
      </c>
      <c r="C1188" t="s">
        <v>114</v>
      </c>
      <c r="D1188" t="s">
        <v>91</v>
      </c>
      <c r="F1188" s="6">
        <v>3108</v>
      </c>
      <c r="G1188" t="s">
        <v>138</v>
      </c>
    </row>
    <row r="1189" spans="1:7" x14ac:dyDescent="0.2">
      <c r="A1189" s="5">
        <v>46357</v>
      </c>
      <c r="B1189" t="s">
        <v>129</v>
      </c>
      <c r="C1189" t="s">
        <v>118</v>
      </c>
      <c r="D1189" t="s">
        <v>67</v>
      </c>
      <c r="F1189" s="6">
        <v>244200</v>
      </c>
      <c r="G1189" t="s">
        <v>138</v>
      </c>
    </row>
    <row r="1190" spans="1:7" x14ac:dyDescent="0.2">
      <c r="A1190" s="5">
        <v>46357</v>
      </c>
      <c r="B1190" t="s">
        <v>129</v>
      </c>
      <c r="C1190" t="s">
        <v>118</v>
      </c>
      <c r="D1190" t="s">
        <v>71</v>
      </c>
      <c r="F1190" s="6">
        <v>53724</v>
      </c>
      <c r="G1190" t="s">
        <v>138</v>
      </c>
    </row>
    <row r="1191" spans="1:7" x14ac:dyDescent="0.2">
      <c r="A1191" s="5">
        <v>46357</v>
      </c>
      <c r="B1191" t="s">
        <v>129</v>
      </c>
      <c r="C1191" t="s">
        <v>118</v>
      </c>
      <c r="D1191" t="s">
        <v>75</v>
      </c>
      <c r="F1191" s="6">
        <v>24420</v>
      </c>
      <c r="G1191" t="s">
        <v>138</v>
      </c>
    </row>
    <row r="1192" spans="1:7" x14ac:dyDescent="0.2">
      <c r="A1192" s="5">
        <v>46357</v>
      </c>
      <c r="B1192" t="s">
        <v>129</v>
      </c>
      <c r="C1192" t="s">
        <v>118</v>
      </c>
      <c r="D1192" t="s">
        <v>76</v>
      </c>
      <c r="F1192" s="6">
        <v>14652</v>
      </c>
      <c r="G1192" t="s">
        <v>138</v>
      </c>
    </row>
    <row r="1193" spans="1:7" x14ac:dyDescent="0.2">
      <c r="A1193" s="5">
        <v>46357</v>
      </c>
      <c r="B1193" t="s">
        <v>129</v>
      </c>
      <c r="C1193" t="s">
        <v>118</v>
      </c>
      <c r="D1193" t="s">
        <v>79</v>
      </c>
      <c r="F1193" s="6">
        <v>9768</v>
      </c>
      <c r="G1193" t="s">
        <v>138</v>
      </c>
    </row>
    <row r="1194" spans="1:7" x14ac:dyDescent="0.2">
      <c r="A1194" s="5">
        <v>46357</v>
      </c>
      <c r="B1194" t="s">
        <v>129</v>
      </c>
      <c r="C1194" t="s">
        <v>118</v>
      </c>
      <c r="D1194" t="s">
        <v>83</v>
      </c>
      <c r="F1194" s="6">
        <v>141636</v>
      </c>
      <c r="G1194" t="s">
        <v>138</v>
      </c>
    </row>
    <row r="1195" spans="1:7" x14ac:dyDescent="0.2">
      <c r="A1195" s="5">
        <v>46357</v>
      </c>
      <c r="B1195" t="s">
        <v>129</v>
      </c>
      <c r="C1195" t="s">
        <v>118</v>
      </c>
      <c r="D1195" t="s">
        <v>85</v>
      </c>
      <c r="F1195" s="6">
        <v>78144</v>
      </c>
      <c r="G1195" t="s">
        <v>138</v>
      </c>
    </row>
    <row r="1196" spans="1:7" x14ac:dyDescent="0.2">
      <c r="A1196" s="5">
        <v>46357</v>
      </c>
      <c r="B1196" t="s">
        <v>129</v>
      </c>
      <c r="C1196" t="s">
        <v>118</v>
      </c>
      <c r="D1196" t="s">
        <v>87</v>
      </c>
      <c r="F1196" s="6">
        <v>7326</v>
      </c>
      <c r="G1196" t="s">
        <v>138</v>
      </c>
    </row>
    <row r="1197" spans="1:7" x14ac:dyDescent="0.2">
      <c r="A1197" s="5">
        <v>46357</v>
      </c>
      <c r="B1197" t="s">
        <v>129</v>
      </c>
      <c r="C1197" t="s">
        <v>118</v>
      </c>
      <c r="D1197" t="s">
        <v>91</v>
      </c>
      <c r="F1197" s="6">
        <v>4884</v>
      </c>
      <c r="G1197" t="s">
        <v>138</v>
      </c>
    </row>
    <row r="1198" spans="1:7" x14ac:dyDescent="0.2">
      <c r="A1198" s="5">
        <v>46357</v>
      </c>
      <c r="B1198" t="s">
        <v>134</v>
      </c>
      <c r="C1198" t="s">
        <v>122</v>
      </c>
      <c r="D1198" t="s">
        <v>54</v>
      </c>
      <c r="E1198" t="s">
        <v>130</v>
      </c>
      <c r="F1198" s="6">
        <v>735456</v>
      </c>
      <c r="G1198" t="s">
        <v>138</v>
      </c>
    </row>
    <row r="1199" spans="1:7" x14ac:dyDescent="0.2">
      <c r="A1199" s="5">
        <v>46357</v>
      </c>
      <c r="B1199" t="s">
        <v>134</v>
      </c>
      <c r="C1199" t="s">
        <v>122</v>
      </c>
      <c r="D1199" t="s">
        <v>54</v>
      </c>
      <c r="E1199" t="s">
        <v>132</v>
      </c>
      <c r="F1199" s="6">
        <v>396015</v>
      </c>
      <c r="G1199" t="s">
        <v>138</v>
      </c>
    </row>
    <row r="1200" spans="1:7" x14ac:dyDescent="0.2">
      <c r="A1200" s="5">
        <v>46357</v>
      </c>
      <c r="B1200" t="s">
        <v>134</v>
      </c>
      <c r="C1200" t="s">
        <v>122</v>
      </c>
      <c r="D1200" t="s">
        <v>58</v>
      </c>
      <c r="E1200" t="s">
        <v>133</v>
      </c>
      <c r="F1200" s="6">
        <v>113147</v>
      </c>
      <c r="G1200" t="s">
        <v>138</v>
      </c>
    </row>
    <row r="1201" spans="1:7" x14ac:dyDescent="0.2">
      <c r="A1201" s="5">
        <v>46357</v>
      </c>
      <c r="B1201" t="s">
        <v>134</v>
      </c>
      <c r="C1201" t="s">
        <v>97</v>
      </c>
      <c r="D1201" t="s">
        <v>67</v>
      </c>
      <c r="F1201" s="6">
        <v>128205</v>
      </c>
      <c r="G1201" t="s">
        <v>138</v>
      </c>
    </row>
    <row r="1202" spans="1:7" x14ac:dyDescent="0.2">
      <c r="A1202" s="5">
        <v>46357</v>
      </c>
      <c r="B1202" t="s">
        <v>134</v>
      </c>
      <c r="C1202" t="s">
        <v>97</v>
      </c>
      <c r="D1202" t="s">
        <v>71</v>
      </c>
      <c r="F1202" s="6">
        <v>28205</v>
      </c>
      <c r="G1202" t="s">
        <v>138</v>
      </c>
    </row>
    <row r="1203" spans="1:7" x14ac:dyDescent="0.2">
      <c r="A1203" s="5">
        <v>46357</v>
      </c>
      <c r="B1203" t="s">
        <v>134</v>
      </c>
      <c r="C1203" t="s">
        <v>97</v>
      </c>
      <c r="D1203" t="s">
        <v>73</v>
      </c>
      <c r="F1203" s="6">
        <v>44872</v>
      </c>
      <c r="G1203" t="s">
        <v>138</v>
      </c>
    </row>
    <row r="1204" spans="1:7" x14ac:dyDescent="0.2">
      <c r="A1204" s="5">
        <v>46357</v>
      </c>
      <c r="B1204" t="s">
        <v>134</v>
      </c>
      <c r="C1204" t="s">
        <v>97</v>
      </c>
      <c r="D1204" t="s">
        <v>75</v>
      </c>
      <c r="F1204" s="6">
        <v>12820</v>
      </c>
      <c r="G1204" t="s">
        <v>138</v>
      </c>
    </row>
    <row r="1205" spans="1:7" x14ac:dyDescent="0.2">
      <c r="A1205" s="5">
        <v>46357</v>
      </c>
      <c r="B1205" t="s">
        <v>134</v>
      </c>
      <c r="C1205" t="s">
        <v>97</v>
      </c>
      <c r="D1205" t="s">
        <v>76</v>
      </c>
      <c r="F1205" s="6">
        <v>7692</v>
      </c>
      <c r="G1205" t="s">
        <v>138</v>
      </c>
    </row>
    <row r="1206" spans="1:7" x14ac:dyDescent="0.2">
      <c r="A1206" s="5">
        <v>46357</v>
      </c>
      <c r="B1206" t="s">
        <v>134</v>
      </c>
      <c r="C1206" t="s">
        <v>97</v>
      </c>
      <c r="D1206" t="s">
        <v>79</v>
      </c>
      <c r="F1206" s="6">
        <v>10256</v>
      </c>
      <c r="G1206" t="s">
        <v>138</v>
      </c>
    </row>
    <row r="1207" spans="1:7" x14ac:dyDescent="0.2">
      <c r="A1207" s="5">
        <v>46357</v>
      </c>
      <c r="B1207" t="s">
        <v>134</v>
      </c>
      <c r="C1207" t="s">
        <v>97</v>
      </c>
      <c r="D1207" t="s">
        <v>87</v>
      </c>
      <c r="F1207" s="6">
        <v>3846</v>
      </c>
      <c r="G1207" t="s">
        <v>138</v>
      </c>
    </row>
    <row r="1208" spans="1:7" x14ac:dyDescent="0.2">
      <c r="A1208" s="5">
        <v>46357</v>
      </c>
      <c r="B1208" t="s">
        <v>134</v>
      </c>
      <c r="C1208" t="s">
        <v>97</v>
      </c>
      <c r="D1208" t="s">
        <v>91</v>
      </c>
      <c r="F1208" s="6">
        <v>2564</v>
      </c>
      <c r="G1208" t="s">
        <v>138</v>
      </c>
    </row>
    <row r="1209" spans="1:7" x14ac:dyDescent="0.2">
      <c r="A1209" s="5">
        <v>46357</v>
      </c>
      <c r="B1209" t="s">
        <v>134</v>
      </c>
      <c r="C1209" t="s">
        <v>102</v>
      </c>
      <c r="D1209" t="s">
        <v>67</v>
      </c>
      <c r="F1209" s="6">
        <v>58275</v>
      </c>
      <c r="G1209" t="s">
        <v>138</v>
      </c>
    </row>
    <row r="1210" spans="1:7" x14ac:dyDescent="0.2">
      <c r="A1210" s="5">
        <v>46357</v>
      </c>
      <c r="B1210" t="s">
        <v>134</v>
      </c>
      <c r="C1210" t="s">
        <v>102</v>
      </c>
      <c r="D1210" t="s">
        <v>71</v>
      </c>
      <c r="F1210" s="6">
        <v>12820</v>
      </c>
      <c r="G1210" t="s">
        <v>138</v>
      </c>
    </row>
    <row r="1211" spans="1:7" x14ac:dyDescent="0.2">
      <c r="A1211" s="5">
        <v>46357</v>
      </c>
      <c r="B1211" t="s">
        <v>134</v>
      </c>
      <c r="C1211" t="s">
        <v>102</v>
      </c>
      <c r="D1211" t="s">
        <v>75</v>
      </c>
      <c r="F1211" s="6">
        <v>5828</v>
      </c>
      <c r="G1211" t="s">
        <v>138</v>
      </c>
    </row>
    <row r="1212" spans="1:7" x14ac:dyDescent="0.2">
      <c r="A1212" s="5">
        <v>46357</v>
      </c>
      <c r="B1212" t="s">
        <v>134</v>
      </c>
      <c r="C1212" t="s">
        <v>102</v>
      </c>
      <c r="D1212" t="s">
        <v>76</v>
      </c>
      <c r="F1212" s="6">
        <v>3496</v>
      </c>
      <c r="G1212" t="s">
        <v>138</v>
      </c>
    </row>
    <row r="1213" spans="1:7" x14ac:dyDescent="0.2">
      <c r="A1213" s="5">
        <v>46357</v>
      </c>
      <c r="B1213" t="s">
        <v>134</v>
      </c>
      <c r="C1213" t="s">
        <v>102</v>
      </c>
      <c r="D1213" t="s">
        <v>79</v>
      </c>
      <c r="F1213" s="6">
        <v>4662</v>
      </c>
      <c r="G1213" t="s">
        <v>138</v>
      </c>
    </row>
    <row r="1214" spans="1:7" x14ac:dyDescent="0.2">
      <c r="A1214" s="5">
        <v>46357</v>
      </c>
      <c r="B1214" t="s">
        <v>134</v>
      </c>
      <c r="C1214" t="s">
        <v>102</v>
      </c>
      <c r="D1214" t="s">
        <v>81</v>
      </c>
      <c r="F1214" s="6">
        <v>78671</v>
      </c>
      <c r="G1214" t="s">
        <v>138</v>
      </c>
    </row>
    <row r="1215" spans="1:7" x14ac:dyDescent="0.2">
      <c r="A1215" s="5">
        <v>46357</v>
      </c>
      <c r="B1215" t="s">
        <v>134</v>
      </c>
      <c r="C1215" t="s">
        <v>102</v>
      </c>
      <c r="D1215" t="s">
        <v>87</v>
      </c>
      <c r="F1215" s="6">
        <v>1748</v>
      </c>
      <c r="G1215" t="s">
        <v>138</v>
      </c>
    </row>
    <row r="1216" spans="1:7" x14ac:dyDescent="0.2">
      <c r="A1216" s="5">
        <v>46357</v>
      </c>
      <c r="B1216" t="s">
        <v>134</v>
      </c>
      <c r="C1216" t="s">
        <v>102</v>
      </c>
      <c r="D1216" t="s">
        <v>91</v>
      </c>
      <c r="F1216" s="6">
        <v>1166</v>
      </c>
      <c r="G1216" t="s">
        <v>138</v>
      </c>
    </row>
    <row r="1217" spans="1:7" x14ac:dyDescent="0.2">
      <c r="A1217" s="5">
        <v>46357</v>
      </c>
      <c r="B1217" t="s">
        <v>134</v>
      </c>
      <c r="C1217" t="s">
        <v>106</v>
      </c>
      <c r="D1217" t="s">
        <v>65</v>
      </c>
      <c r="F1217" s="6">
        <v>26418</v>
      </c>
      <c r="G1217" t="s">
        <v>138</v>
      </c>
    </row>
    <row r="1218" spans="1:7" x14ac:dyDescent="0.2">
      <c r="A1218" s="5">
        <v>46357</v>
      </c>
      <c r="B1218" t="s">
        <v>134</v>
      </c>
      <c r="C1218" t="s">
        <v>106</v>
      </c>
      <c r="D1218" t="s">
        <v>67</v>
      </c>
      <c r="F1218" s="6">
        <v>66045</v>
      </c>
      <c r="G1218" t="s">
        <v>138</v>
      </c>
    </row>
    <row r="1219" spans="1:7" x14ac:dyDescent="0.2">
      <c r="A1219" s="5">
        <v>46357</v>
      </c>
      <c r="B1219" t="s">
        <v>134</v>
      </c>
      <c r="C1219" t="s">
        <v>106</v>
      </c>
      <c r="D1219" t="s">
        <v>71</v>
      </c>
      <c r="F1219" s="6">
        <v>14530</v>
      </c>
      <c r="G1219" t="s">
        <v>138</v>
      </c>
    </row>
    <row r="1220" spans="1:7" x14ac:dyDescent="0.2">
      <c r="A1220" s="5">
        <v>46357</v>
      </c>
      <c r="B1220" t="s">
        <v>134</v>
      </c>
      <c r="C1220" t="s">
        <v>106</v>
      </c>
      <c r="D1220" t="s">
        <v>75</v>
      </c>
      <c r="F1220" s="6">
        <v>6604</v>
      </c>
      <c r="G1220" t="s">
        <v>138</v>
      </c>
    </row>
    <row r="1221" spans="1:7" x14ac:dyDescent="0.2">
      <c r="A1221" s="5">
        <v>46357</v>
      </c>
      <c r="B1221" t="s">
        <v>134</v>
      </c>
      <c r="C1221" t="s">
        <v>106</v>
      </c>
      <c r="D1221" t="s">
        <v>76</v>
      </c>
      <c r="F1221" s="6">
        <v>3963</v>
      </c>
      <c r="G1221" t="s">
        <v>138</v>
      </c>
    </row>
    <row r="1222" spans="1:7" x14ac:dyDescent="0.2">
      <c r="A1222" s="5">
        <v>46357</v>
      </c>
      <c r="B1222" t="s">
        <v>134</v>
      </c>
      <c r="C1222" t="s">
        <v>106</v>
      </c>
      <c r="D1222" t="s">
        <v>79</v>
      </c>
      <c r="F1222" s="6">
        <v>2642</v>
      </c>
      <c r="G1222" t="s">
        <v>138</v>
      </c>
    </row>
    <row r="1223" spans="1:7" x14ac:dyDescent="0.2">
      <c r="A1223" s="5">
        <v>46357</v>
      </c>
      <c r="B1223" t="s">
        <v>134</v>
      </c>
      <c r="C1223" t="s">
        <v>106</v>
      </c>
      <c r="D1223" t="s">
        <v>87</v>
      </c>
      <c r="F1223" s="6">
        <v>1981</v>
      </c>
      <c r="G1223" t="s">
        <v>138</v>
      </c>
    </row>
    <row r="1224" spans="1:7" x14ac:dyDescent="0.2">
      <c r="A1224" s="5">
        <v>46357</v>
      </c>
      <c r="B1224" t="s">
        <v>134</v>
      </c>
      <c r="C1224" t="s">
        <v>106</v>
      </c>
      <c r="D1224" t="s">
        <v>91</v>
      </c>
      <c r="F1224" s="6">
        <v>1321</v>
      </c>
      <c r="G1224" t="s">
        <v>138</v>
      </c>
    </row>
    <row r="1225" spans="1:7" x14ac:dyDescent="0.2">
      <c r="A1225" s="5">
        <v>46357</v>
      </c>
      <c r="B1225" t="s">
        <v>134</v>
      </c>
      <c r="C1225" t="s">
        <v>110</v>
      </c>
      <c r="D1225" t="s">
        <v>61</v>
      </c>
      <c r="F1225" s="6">
        <v>202020</v>
      </c>
      <c r="G1225" t="s">
        <v>138</v>
      </c>
    </row>
    <row r="1226" spans="1:7" x14ac:dyDescent="0.2">
      <c r="A1226" s="5">
        <v>46357</v>
      </c>
      <c r="B1226" t="s">
        <v>134</v>
      </c>
      <c r="C1226" t="s">
        <v>110</v>
      </c>
      <c r="D1226" t="s">
        <v>67</v>
      </c>
      <c r="F1226" s="6">
        <v>202020</v>
      </c>
      <c r="G1226" t="s">
        <v>138</v>
      </c>
    </row>
    <row r="1227" spans="1:7" x14ac:dyDescent="0.2">
      <c r="A1227" s="5">
        <v>46357</v>
      </c>
      <c r="B1227" t="s">
        <v>134</v>
      </c>
      <c r="C1227" t="s">
        <v>110</v>
      </c>
      <c r="D1227" t="s">
        <v>71</v>
      </c>
      <c r="F1227" s="6">
        <v>44444</v>
      </c>
      <c r="G1227" t="s">
        <v>138</v>
      </c>
    </row>
    <row r="1228" spans="1:7" x14ac:dyDescent="0.2">
      <c r="A1228" s="5">
        <v>46357</v>
      </c>
      <c r="B1228" t="s">
        <v>134</v>
      </c>
      <c r="C1228" t="s">
        <v>110</v>
      </c>
      <c r="D1228" t="s">
        <v>75</v>
      </c>
      <c r="F1228" s="6">
        <v>20202</v>
      </c>
      <c r="G1228" t="s">
        <v>138</v>
      </c>
    </row>
    <row r="1229" spans="1:7" x14ac:dyDescent="0.2">
      <c r="A1229" s="5">
        <v>46357</v>
      </c>
      <c r="B1229" t="s">
        <v>134</v>
      </c>
      <c r="C1229" t="s">
        <v>110</v>
      </c>
      <c r="D1229" t="s">
        <v>76</v>
      </c>
      <c r="F1229" s="6">
        <v>12121</v>
      </c>
      <c r="G1229" t="s">
        <v>138</v>
      </c>
    </row>
    <row r="1230" spans="1:7" x14ac:dyDescent="0.2">
      <c r="A1230" s="5">
        <v>46357</v>
      </c>
      <c r="B1230" t="s">
        <v>134</v>
      </c>
      <c r="C1230" t="s">
        <v>110</v>
      </c>
      <c r="D1230" t="s">
        <v>79</v>
      </c>
      <c r="F1230" s="6">
        <v>8081</v>
      </c>
      <c r="G1230" t="s">
        <v>138</v>
      </c>
    </row>
    <row r="1231" spans="1:7" x14ac:dyDescent="0.2">
      <c r="A1231" s="5">
        <v>46357</v>
      </c>
      <c r="B1231" t="s">
        <v>134</v>
      </c>
      <c r="C1231" t="s">
        <v>110</v>
      </c>
      <c r="D1231" t="s">
        <v>87</v>
      </c>
      <c r="F1231" s="6">
        <v>6061</v>
      </c>
      <c r="G1231" t="s">
        <v>138</v>
      </c>
    </row>
    <row r="1232" spans="1:7" x14ac:dyDescent="0.2">
      <c r="A1232" s="5">
        <v>46357</v>
      </c>
      <c r="B1232" t="s">
        <v>134</v>
      </c>
      <c r="C1232" t="s">
        <v>110</v>
      </c>
      <c r="D1232" t="s">
        <v>89</v>
      </c>
      <c r="F1232" s="6">
        <v>34343</v>
      </c>
      <c r="G1232" t="s">
        <v>138</v>
      </c>
    </row>
    <row r="1233" spans="1:7" x14ac:dyDescent="0.2">
      <c r="A1233" s="5">
        <v>46357</v>
      </c>
      <c r="B1233" t="s">
        <v>134</v>
      </c>
      <c r="C1233" t="s">
        <v>110</v>
      </c>
      <c r="D1233" t="s">
        <v>91</v>
      </c>
      <c r="F1233" s="6">
        <v>4040</v>
      </c>
      <c r="G1233" t="s">
        <v>138</v>
      </c>
    </row>
    <row r="1234" spans="1:7" x14ac:dyDescent="0.2">
      <c r="A1234" s="5">
        <v>46357</v>
      </c>
      <c r="B1234" t="s">
        <v>134</v>
      </c>
      <c r="C1234" t="s">
        <v>114</v>
      </c>
      <c r="D1234" t="s">
        <v>67</v>
      </c>
      <c r="F1234" s="6">
        <v>54390</v>
      </c>
      <c r="G1234" t="s">
        <v>138</v>
      </c>
    </row>
    <row r="1235" spans="1:7" x14ac:dyDescent="0.2">
      <c r="A1235" s="5">
        <v>46357</v>
      </c>
      <c r="B1235" t="s">
        <v>134</v>
      </c>
      <c r="C1235" t="s">
        <v>114</v>
      </c>
      <c r="D1235" t="s">
        <v>71</v>
      </c>
      <c r="F1235" s="6">
        <v>11966</v>
      </c>
      <c r="G1235" t="s">
        <v>138</v>
      </c>
    </row>
    <row r="1236" spans="1:7" x14ac:dyDescent="0.2">
      <c r="A1236" s="5">
        <v>46357</v>
      </c>
      <c r="B1236" t="s">
        <v>134</v>
      </c>
      <c r="C1236" t="s">
        <v>114</v>
      </c>
      <c r="D1236" t="s">
        <v>75</v>
      </c>
      <c r="F1236" s="6">
        <v>5439</v>
      </c>
      <c r="G1236" t="s">
        <v>138</v>
      </c>
    </row>
    <row r="1237" spans="1:7" x14ac:dyDescent="0.2">
      <c r="A1237" s="5">
        <v>46357</v>
      </c>
      <c r="B1237" t="s">
        <v>134</v>
      </c>
      <c r="C1237" t="s">
        <v>114</v>
      </c>
      <c r="D1237" t="s">
        <v>76</v>
      </c>
      <c r="F1237" s="6">
        <v>3263</v>
      </c>
      <c r="G1237" t="s">
        <v>138</v>
      </c>
    </row>
    <row r="1238" spans="1:7" x14ac:dyDescent="0.2">
      <c r="A1238" s="5">
        <v>46357</v>
      </c>
      <c r="B1238" t="s">
        <v>134</v>
      </c>
      <c r="C1238" t="s">
        <v>114</v>
      </c>
      <c r="D1238" t="s">
        <v>79</v>
      </c>
      <c r="F1238" s="6">
        <v>2176</v>
      </c>
      <c r="G1238" t="s">
        <v>138</v>
      </c>
    </row>
    <row r="1239" spans="1:7" x14ac:dyDescent="0.2">
      <c r="A1239" s="5">
        <v>46357</v>
      </c>
      <c r="B1239" t="s">
        <v>134</v>
      </c>
      <c r="C1239" t="s">
        <v>114</v>
      </c>
      <c r="D1239" t="s">
        <v>87</v>
      </c>
      <c r="F1239" s="6">
        <v>1632</v>
      </c>
      <c r="G1239" t="s">
        <v>138</v>
      </c>
    </row>
    <row r="1240" spans="1:7" x14ac:dyDescent="0.2">
      <c r="A1240" s="5">
        <v>46357</v>
      </c>
      <c r="B1240" t="s">
        <v>134</v>
      </c>
      <c r="C1240" t="s">
        <v>114</v>
      </c>
      <c r="D1240" t="s">
        <v>91</v>
      </c>
      <c r="F1240" s="6">
        <v>1088</v>
      </c>
      <c r="G1240" t="s">
        <v>138</v>
      </c>
    </row>
    <row r="1241" spans="1:7" x14ac:dyDescent="0.2">
      <c r="A1241" s="5">
        <v>46357</v>
      </c>
      <c r="B1241" t="s">
        <v>134</v>
      </c>
      <c r="C1241" t="s">
        <v>118</v>
      </c>
      <c r="D1241" t="s">
        <v>67</v>
      </c>
      <c r="F1241" s="6">
        <v>85470</v>
      </c>
      <c r="G1241" t="s">
        <v>138</v>
      </c>
    </row>
    <row r="1242" spans="1:7" x14ac:dyDescent="0.2">
      <c r="A1242" s="5">
        <v>46357</v>
      </c>
      <c r="B1242" t="s">
        <v>134</v>
      </c>
      <c r="C1242" t="s">
        <v>118</v>
      </c>
      <c r="D1242" t="s">
        <v>71</v>
      </c>
      <c r="F1242" s="6">
        <v>18803</v>
      </c>
      <c r="G1242" t="s">
        <v>138</v>
      </c>
    </row>
    <row r="1243" spans="1:7" x14ac:dyDescent="0.2">
      <c r="A1243" s="5">
        <v>46357</v>
      </c>
      <c r="B1243" t="s">
        <v>134</v>
      </c>
      <c r="C1243" t="s">
        <v>118</v>
      </c>
      <c r="D1243" t="s">
        <v>75</v>
      </c>
      <c r="F1243" s="6">
        <v>8547</v>
      </c>
      <c r="G1243" t="s">
        <v>138</v>
      </c>
    </row>
    <row r="1244" spans="1:7" x14ac:dyDescent="0.2">
      <c r="A1244" s="5">
        <v>46357</v>
      </c>
      <c r="B1244" t="s">
        <v>134</v>
      </c>
      <c r="C1244" t="s">
        <v>118</v>
      </c>
      <c r="D1244" t="s">
        <v>76</v>
      </c>
      <c r="F1244" s="6">
        <v>5128</v>
      </c>
      <c r="G1244" t="s">
        <v>138</v>
      </c>
    </row>
    <row r="1245" spans="1:7" x14ac:dyDescent="0.2">
      <c r="A1245" s="5">
        <v>46357</v>
      </c>
      <c r="B1245" t="s">
        <v>134</v>
      </c>
      <c r="C1245" t="s">
        <v>118</v>
      </c>
      <c r="D1245" t="s">
        <v>79</v>
      </c>
      <c r="F1245" s="6">
        <v>3419</v>
      </c>
      <c r="G1245" t="s">
        <v>138</v>
      </c>
    </row>
    <row r="1246" spans="1:7" x14ac:dyDescent="0.2">
      <c r="A1246" s="5">
        <v>46357</v>
      </c>
      <c r="B1246" t="s">
        <v>134</v>
      </c>
      <c r="C1246" t="s">
        <v>118</v>
      </c>
      <c r="D1246" t="s">
        <v>83</v>
      </c>
      <c r="F1246" s="6">
        <v>49573</v>
      </c>
      <c r="G1246" t="s">
        <v>138</v>
      </c>
    </row>
    <row r="1247" spans="1:7" x14ac:dyDescent="0.2">
      <c r="A1247" s="5">
        <v>46357</v>
      </c>
      <c r="B1247" t="s">
        <v>134</v>
      </c>
      <c r="C1247" t="s">
        <v>118</v>
      </c>
      <c r="D1247" t="s">
        <v>85</v>
      </c>
      <c r="F1247" s="6">
        <v>27350</v>
      </c>
      <c r="G1247" t="s">
        <v>138</v>
      </c>
    </row>
    <row r="1248" spans="1:7" x14ac:dyDescent="0.2">
      <c r="A1248" s="5">
        <v>46357</v>
      </c>
      <c r="B1248" t="s">
        <v>134</v>
      </c>
      <c r="C1248" t="s">
        <v>118</v>
      </c>
      <c r="D1248" t="s">
        <v>87</v>
      </c>
      <c r="F1248" s="6">
        <v>2564</v>
      </c>
      <c r="G1248" t="s">
        <v>138</v>
      </c>
    </row>
    <row r="1249" spans="1:7" x14ac:dyDescent="0.2">
      <c r="A1249" s="5">
        <v>46357</v>
      </c>
      <c r="B1249" t="s">
        <v>134</v>
      </c>
      <c r="C1249" t="s">
        <v>118</v>
      </c>
      <c r="D1249" t="s">
        <v>91</v>
      </c>
      <c r="F1249" s="6">
        <v>1709</v>
      </c>
      <c r="G1249" t="s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5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0" customWidth="1"/>
    <col min="4" max="13" width="13" customWidth="1"/>
  </cols>
  <sheetData>
    <row r="1" spans="1:13" ht="19" x14ac:dyDescent="0.25">
      <c r="A1" s="15" t="s">
        <v>139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2">
      <c r="A2" s="7" t="s">
        <v>140</v>
      </c>
    </row>
    <row r="3" spans="1:13" hidden="1" x14ac:dyDescent="0.2">
      <c r="A3" s="7" t="s">
        <v>141</v>
      </c>
      <c r="D3" s="8">
        <v>46204</v>
      </c>
      <c r="E3" s="8">
        <v>46204</v>
      </c>
      <c r="F3" s="8">
        <v>46235</v>
      </c>
      <c r="G3" s="8">
        <v>46235</v>
      </c>
      <c r="H3" s="8">
        <v>46266</v>
      </c>
      <c r="I3" s="8">
        <v>46266</v>
      </c>
      <c r="J3" s="8">
        <v>46266</v>
      </c>
      <c r="K3" s="8">
        <v>46266</v>
      </c>
    </row>
    <row r="4" spans="1:13" x14ac:dyDescent="0.2">
      <c r="A4" s="2" t="s">
        <v>49</v>
      </c>
      <c r="B4" s="2" t="s">
        <v>50</v>
      </c>
      <c r="C4" s="2" t="s">
        <v>51</v>
      </c>
      <c r="D4" s="2" t="s">
        <v>142</v>
      </c>
      <c r="E4" s="2" t="s">
        <v>143</v>
      </c>
      <c r="F4" s="2" t="s">
        <v>144</v>
      </c>
      <c r="G4" s="2" t="s">
        <v>145</v>
      </c>
      <c r="H4" s="2" t="s">
        <v>146</v>
      </c>
      <c r="I4" s="2" t="s">
        <v>147</v>
      </c>
      <c r="J4" s="2" t="s">
        <v>148</v>
      </c>
      <c r="K4" s="2" t="s">
        <v>149</v>
      </c>
      <c r="L4" s="2" t="s">
        <v>150</v>
      </c>
      <c r="M4" s="2" t="s">
        <v>151</v>
      </c>
    </row>
    <row r="5" spans="1:13" x14ac:dyDescent="0.2">
      <c r="A5" t="s">
        <v>54</v>
      </c>
      <c r="B5" t="str">
        <f>VLOOKUP($A5,COA!$A$2:$E$30,2,FALSE)</f>
        <v>Subscription revenue</v>
      </c>
      <c r="C5" t="str">
        <f>VLOOKUP($A5,COA!$A$2:$E$30,3,FALSE)</f>
        <v>Revenue</v>
      </c>
      <c r="D5" s="6">
        <f>SUMIFS(Actuals!$F$2:$F$891,Actuals!$D$2:$D$891,$A5,Actuals!$A$2:$A$891,D$3,Actuals!$B$2:$B$891,"US")+SUMIFS(Actuals!$F$2:$F$891,Actuals!$D$2:$D$891,$A5,Actuals!$A$2:$A$891,D$3,Actuals!$B$2:$B$891,"EU")*FX_EUR_USD</f>
        <v>4008528.56</v>
      </c>
      <c r="E5" s="6">
        <f>SUMIFS(Budget!$F$2:$F$1300,Budget!$A$2:$A$1300,E$3,Budget!$D$2:$D$1300,$A5)</f>
        <v>3952830</v>
      </c>
      <c r="F5" s="6">
        <f>SUMIFS(Actuals!$F$2:$F$891,Actuals!$D$2:$D$891,$A5,Actuals!$A$2:$A$891,F$3,Actuals!$B$2:$B$891,"US")+SUMIFS(Actuals!$F$2:$F$891,Actuals!$D$2:$D$891,$A5,Actuals!$A$2:$A$891,F$3,Actuals!$B$2:$B$891,"EU")*FX_EUR_USD</f>
        <v>4112680.3600000003</v>
      </c>
      <c r="G5" s="6">
        <f>SUMIFS(Budget!$F$2:$F$1300,Budget!$A$2:$A$1300,G$3,Budget!$D$2:$D$1300,$A5)</f>
        <v>4031887</v>
      </c>
      <c r="H5" s="6">
        <f>SUMIFS(Actuals!$F$2:$F$891,Actuals!$D$2:$D$891,$A5,Actuals!$A$2:$A$891,H$3,Actuals!$B$2:$B$891,"US")+SUMIFS(Actuals!$F$2:$F$891,Actuals!$D$2:$D$891,$A5,Actuals!$A$2:$A$891,H$3,Actuals!$B$2:$B$891,"EU")*FX_EUR_USD</f>
        <v>4180963.12</v>
      </c>
      <c r="I5" s="6">
        <f>SUMIFS(Budget!$F$2:$F$1300,Budget!$A$2:$A$1300,I$3,Budget!$D$2:$D$1300,$A5)</f>
        <v>4112525</v>
      </c>
      <c r="J5" s="6">
        <f>SUMIFS(Actuals!$F$2:$F$891,Actuals!$D$2:$D$891,$A5,Actuals!$B$2:$B$891,"US")+SUMIFS(Actuals!$F$2:$F$891,Actuals!$D$2:$D$891,$A5,Actuals!$B$2:$B$891,"EU")*FX_EUR_USD</f>
        <v>35020992.600000001</v>
      </c>
      <c r="K5" s="6">
        <f>SUMIFS(Budget!$F$2:$F$1300,Budget!$A$2:$A$1300,"&lt;="&amp;K$3,Budget!$D$2:$D$1300,$A5)</f>
        <v>34238749</v>
      </c>
      <c r="L5" s="6">
        <f>J5-K5</f>
        <v>782243.60000000149</v>
      </c>
      <c r="M5" s="9">
        <f t="shared" ref="M5:M11" si="0">IFERROR(L5/K5,0)</f>
        <v>2.2846734265904445E-2</v>
      </c>
    </row>
    <row r="6" spans="1:13" x14ac:dyDescent="0.2">
      <c r="A6" t="s">
        <v>58</v>
      </c>
      <c r="B6" t="str">
        <f>VLOOKUP($A6,COA!$A$2:$E$30,2,FALSE)</f>
        <v>Professional services revenue</v>
      </c>
      <c r="C6" t="str">
        <f>VLOOKUP($A6,COA!$A$2:$E$30,3,FALSE)</f>
        <v>Revenue</v>
      </c>
      <c r="D6" s="6">
        <f>SUMIFS(Actuals!$F$2:$F$891,Actuals!$D$2:$D$891,$A6,Actuals!$A$2:$A$891,D$3,Actuals!$B$2:$B$891,"US")+SUMIFS(Actuals!$F$2:$F$891,Actuals!$D$2:$D$891,$A6,Actuals!$A$2:$A$891,D$3,Actuals!$B$2:$B$891,"EU")*FX_EUR_USD</f>
        <v>401215.24</v>
      </c>
      <c r="E6" s="6">
        <f>SUMIFS(Budget!$F$2:$F$1300,Budget!$A$2:$A$1300,E$3,Budget!$D$2:$D$1300,$A6)</f>
        <v>395283</v>
      </c>
      <c r="F6" s="6">
        <f>SUMIFS(Actuals!$F$2:$F$891,Actuals!$D$2:$D$891,$A6,Actuals!$A$2:$A$891,F$3,Actuals!$B$2:$B$891,"US")+SUMIFS(Actuals!$F$2:$F$891,Actuals!$D$2:$D$891,$A6,Actuals!$A$2:$A$891,F$3,Actuals!$B$2:$B$891,"EU")*FX_EUR_USD</f>
        <v>415668.08</v>
      </c>
      <c r="G6" s="6">
        <f>SUMIFS(Budget!$F$2:$F$1300,Budget!$A$2:$A$1300,G$3,Budget!$D$2:$D$1300,$A6)</f>
        <v>403188</v>
      </c>
      <c r="H6" s="6">
        <f>SUMIFS(Actuals!$F$2:$F$891,Actuals!$D$2:$D$891,$A6,Actuals!$A$2:$A$891,H$3,Actuals!$B$2:$B$891,"US")+SUMIFS(Actuals!$F$2:$F$891,Actuals!$D$2:$D$891,$A6,Actuals!$A$2:$A$891,H$3,Actuals!$B$2:$B$891,"EU")*FX_EUR_USD</f>
        <v>420696.92000000004</v>
      </c>
      <c r="I6" s="6">
        <f>SUMIFS(Budget!$F$2:$F$1300,Budget!$A$2:$A$1300,I$3,Budget!$D$2:$D$1300,$A6)</f>
        <v>411252</v>
      </c>
      <c r="J6" s="6">
        <f>SUMIFS(Actuals!$F$2:$F$891,Actuals!$D$2:$D$891,$A6,Actuals!$B$2:$B$891,"US")+SUMIFS(Actuals!$F$2:$F$891,Actuals!$D$2:$D$891,$A6,Actuals!$B$2:$B$891,"EU")*FX_EUR_USD</f>
        <v>3518583.92</v>
      </c>
      <c r="K6" s="6">
        <f>SUMIFS(Budget!$F$2:$F$1300,Budget!$A$2:$A$1300,"&lt;="&amp;K$3,Budget!$D$2:$D$1300,$A6)</f>
        <v>3423872</v>
      </c>
      <c r="L6" s="6">
        <f>J6-K6</f>
        <v>94711.919999999925</v>
      </c>
      <c r="M6" s="9">
        <f t="shared" si="0"/>
        <v>2.7662225690680005E-2</v>
      </c>
    </row>
    <row r="7" spans="1:13" x14ac:dyDescent="0.2">
      <c r="B7" s="1" t="s">
        <v>152</v>
      </c>
      <c r="D7" s="10">
        <f t="shared" ref="D7:L7" si="1">SUM(D5:D6)</f>
        <v>4409743.8</v>
      </c>
      <c r="E7" s="10">
        <f t="shared" si="1"/>
        <v>4348113</v>
      </c>
      <c r="F7" s="10">
        <f t="shared" si="1"/>
        <v>4528348.4400000004</v>
      </c>
      <c r="G7" s="10">
        <f t="shared" si="1"/>
        <v>4435075</v>
      </c>
      <c r="H7" s="10">
        <f t="shared" si="1"/>
        <v>4601660.04</v>
      </c>
      <c r="I7" s="10">
        <f t="shared" si="1"/>
        <v>4523777</v>
      </c>
      <c r="J7" s="10">
        <f t="shared" si="1"/>
        <v>38539576.520000003</v>
      </c>
      <c r="K7" s="10">
        <f t="shared" si="1"/>
        <v>37662621</v>
      </c>
      <c r="L7" s="10">
        <f t="shared" si="1"/>
        <v>876955.52000000142</v>
      </c>
      <c r="M7" s="11">
        <f t="shared" si="0"/>
        <v>2.328450587652945E-2</v>
      </c>
    </row>
    <row r="8" spans="1:13" x14ac:dyDescent="0.2">
      <c r="A8" t="s">
        <v>61</v>
      </c>
      <c r="B8" t="str">
        <f>VLOOKUP($A8,COA!$A$2:$E$30,2,FALSE)</f>
        <v>Hosting &amp; infrastructure</v>
      </c>
      <c r="C8" t="str">
        <f>VLOOKUP($A8,COA!$A$2:$E$30,3,FALSE)</f>
        <v>COGS</v>
      </c>
      <c r="D8" s="6">
        <f>SUMIFS(Actuals!$F$2:$F$891,Actuals!$D$2:$D$891,$A8,Actuals!$A$2:$A$891,D$3,Actuals!$B$2:$B$891,"US")+SUMIFS(Actuals!$F$2:$F$891,Actuals!$D$2:$D$891,$A8,Actuals!$A$2:$A$891,D$3,Actuals!$B$2:$B$891,"EU")*FX_EUR_USD</f>
        <v>728344.36</v>
      </c>
      <c r="E8" s="6">
        <f>SUMIFS(Budget!$F$2:$F$1300,Budget!$A$2:$A$1300,E$3,Budget!$D$2:$D$1300,$A8)</f>
        <v>744120</v>
      </c>
      <c r="F8" s="6">
        <f>SUMIFS(Actuals!$F$2:$F$891,Actuals!$D$2:$D$891,$A8,Actuals!$A$2:$A$891,F$3,Actuals!$B$2:$B$891,"US")+SUMIFS(Actuals!$F$2:$F$891,Actuals!$D$2:$D$891,$A8,Actuals!$A$2:$A$891,F$3,Actuals!$B$2:$B$891,"EU")*FX_EUR_USD</f>
        <v>775664</v>
      </c>
      <c r="G8" s="6">
        <f>SUMIFS(Budget!$F$2:$F$1300,Budget!$A$2:$A$1300,G$3,Budget!$D$2:$D$1300,$A8)</f>
        <v>751140</v>
      </c>
      <c r="H8" s="6">
        <f>SUMIFS(Actuals!$F$2:$F$891,Actuals!$D$2:$D$891,$A8,Actuals!$A$2:$A$891,H$3,Actuals!$B$2:$B$891,"US")+SUMIFS(Actuals!$F$2:$F$891,Actuals!$D$2:$D$891,$A8,Actuals!$A$2:$A$891,H$3,Actuals!$B$2:$B$891,"EU")*FX_EUR_USD</f>
        <v>546141</v>
      </c>
      <c r="I8" s="6">
        <f>SUMIFS(Budget!$F$2:$F$1300,Budget!$A$2:$A$1300,I$3,Budget!$D$2:$D$1300,$A8)</f>
        <v>758160</v>
      </c>
      <c r="J8" s="6">
        <f>SUMIFS(Actuals!$F$2:$F$891,Actuals!$D$2:$D$891,$A8,Actuals!$B$2:$B$891,"US")+SUMIFS(Actuals!$F$2:$F$891,Actuals!$D$2:$D$891,$A8,Actuals!$B$2:$B$891,"EU")*FX_EUR_USD</f>
        <v>6305638.5999999996</v>
      </c>
      <c r="K8" s="6">
        <f>SUMIFS(Budget!$F$2:$F$1300,Budget!$A$2:$A$1300,"&lt;="&amp;K$3,Budget!$D$2:$D$1300,$A8)</f>
        <v>6570720</v>
      </c>
      <c r="L8" s="6">
        <f>J8-K8</f>
        <v>-265081.40000000037</v>
      </c>
      <c r="M8" s="9">
        <f t="shared" si="0"/>
        <v>-4.0342823921883805E-2</v>
      </c>
    </row>
    <row r="9" spans="1:13" x14ac:dyDescent="0.2">
      <c r="A9" t="s">
        <v>65</v>
      </c>
      <c r="B9" t="str">
        <f>VLOOKUP($A9,COA!$A$2:$E$30,2,FALSE)</f>
        <v>Services delivery</v>
      </c>
      <c r="C9" t="str">
        <f>VLOOKUP($A9,COA!$A$2:$E$30,3,FALSE)</f>
        <v>COGS</v>
      </c>
      <c r="D9" s="6">
        <f>SUMIFS(Actuals!$F$2:$F$891,Actuals!$D$2:$D$891,$A9,Actuals!$A$2:$A$891,D$3,Actuals!$B$2:$B$891,"US")+SUMIFS(Actuals!$F$2:$F$891,Actuals!$D$2:$D$891,$A9,Actuals!$A$2:$A$891,D$3,Actuals!$B$2:$B$891,"EU")*FX_EUR_USD</f>
        <v>100649.28</v>
      </c>
      <c r="E9" s="6">
        <f>SUMIFS(Budget!$F$2:$F$1300,Budget!$A$2:$A$1300,E$3,Budget!$D$2:$D$1300,$A9)</f>
        <v>97308</v>
      </c>
      <c r="F9" s="6">
        <f>SUMIFS(Actuals!$F$2:$F$891,Actuals!$D$2:$D$891,$A9,Actuals!$A$2:$A$891,F$3,Actuals!$B$2:$B$891,"US")+SUMIFS(Actuals!$F$2:$F$891,Actuals!$D$2:$D$891,$A9,Actuals!$A$2:$A$891,F$3,Actuals!$B$2:$B$891,"EU")*FX_EUR_USD</f>
        <v>100208.44</v>
      </c>
      <c r="G9" s="6">
        <f>SUMIFS(Budget!$F$2:$F$1300,Budget!$A$2:$A$1300,G$3,Budget!$D$2:$D$1300,$A9)</f>
        <v>98226</v>
      </c>
      <c r="H9" s="6">
        <f>SUMIFS(Actuals!$F$2:$F$891,Actuals!$D$2:$D$891,$A9,Actuals!$A$2:$A$891,H$3,Actuals!$B$2:$B$891,"US")+SUMIFS(Actuals!$F$2:$F$891,Actuals!$D$2:$D$891,$A9,Actuals!$A$2:$A$891,H$3,Actuals!$B$2:$B$891,"EU")*FX_EUR_USD</f>
        <v>72170</v>
      </c>
      <c r="I9" s="6">
        <f>SUMIFS(Budget!$F$2:$F$1300,Budget!$A$2:$A$1300,I$3,Budget!$D$2:$D$1300,$A9)</f>
        <v>99144</v>
      </c>
      <c r="J9" s="6">
        <f>SUMIFS(Actuals!$F$2:$F$891,Actuals!$D$2:$D$891,$A9,Actuals!$B$2:$B$891,"US")+SUMIFS(Actuals!$F$2:$F$891,Actuals!$D$2:$D$891,$A9,Actuals!$B$2:$B$891,"EU")*FX_EUR_USD</f>
        <v>850891.72</v>
      </c>
      <c r="K9" s="6">
        <f>SUMIFS(Budget!$F$2:$F$1300,Budget!$A$2:$A$1300,"&lt;="&amp;K$3,Budget!$D$2:$D$1300,$A9)</f>
        <v>859248</v>
      </c>
      <c r="L9" s="6">
        <f>J9-K9</f>
        <v>-8356.2800000000279</v>
      </c>
      <c r="M9" s="9">
        <f t="shared" si="0"/>
        <v>-9.7251084669385656E-3</v>
      </c>
    </row>
    <row r="10" spans="1:13" x14ac:dyDescent="0.2">
      <c r="B10" s="1" t="s">
        <v>153</v>
      </c>
      <c r="D10" s="10">
        <f t="shared" ref="D10:L10" si="2">SUM(D8:D9)</f>
        <v>828993.64</v>
      </c>
      <c r="E10" s="10">
        <f t="shared" si="2"/>
        <v>841428</v>
      </c>
      <c r="F10" s="10">
        <f t="shared" si="2"/>
        <v>875872.44</v>
      </c>
      <c r="G10" s="10">
        <f t="shared" si="2"/>
        <v>849366</v>
      </c>
      <c r="H10" s="10">
        <f t="shared" si="2"/>
        <v>618311</v>
      </c>
      <c r="I10" s="10">
        <f t="shared" si="2"/>
        <v>857304</v>
      </c>
      <c r="J10" s="10">
        <f t="shared" si="2"/>
        <v>7156530.3199999994</v>
      </c>
      <c r="K10" s="10">
        <f t="shared" si="2"/>
        <v>7429968</v>
      </c>
      <c r="L10" s="10">
        <f t="shared" si="2"/>
        <v>-273437.6800000004</v>
      </c>
      <c r="M10" s="11">
        <f t="shared" si="0"/>
        <v>-3.6801999685597622E-2</v>
      </c>
    </row>
    <row r="11" spans="1:13" x14ac:dyDescent="0.2">
      <c r="B11" s="1" t="s">
        <v>154</v>
      </c>
      <c r="D11" s="10">
        <f t="shared" ref="D11:L11" si="3">D7-D10</f>
        <v>3580750.1599999997</v>
      </c>
      <c r="E11" s="10">
        <f t="shared" si="3"/>
        <v>3506685</v>
      </c>
      <c r="F11" s="10">
        <f t="shared" si="3"/>
        <v>3652476.0000000005</v>
      </c>
      <c r="G11" s="10">
        <f t="shared" si="3"/>
        <v>3585709</v>
      </c>
      <c r="H11" s="10">
        <f t="shared" si="3"/>
        <v>3983349.04</v>
      </c>
      <c r="I11" s="10">
        <f t="shared" si="3"/>
        <v>3666473</v>
      </c>
      <c r="J11" s="10">
        <f t="shared" si="3"/>
        <v>31383046.200000003</v>
      </c>
      <c r="K11" s="10">
        <f t="shared" si="3"/>
        <v>30232653</v>
      </c>
      <c r="L11" s="10">
        <f t="shared" si="3"/>
        <v>1150393.2000000018</v>
      </c>
      <c r="M11" s="11">
        <f t="shared" si="0"/>
        <v>3.8051347991193557E-2</v>
      </c>
    </row>
    <row r="12" spans="1:13" x14ac:dyDescent="0.2">
      <c r="B12" s="1" t="s">
        <v>155</v>
      </c>
      <c r="D12" s="12">
        <f t="shared" ref="D12:K12" si="4">IFERROR(D11/D7,0)</f>
        <v>0.81200866136486205</v>
      </c>
      <c r="E12" s="12">
        <f t="shared" si="4"/>
        <v>0.80648433009905673</v>
      </c>
      <c r="F12" s="12">
        <f t="shared" si="4"/>
        <v>0.80658015795268623</v>
      </c>
      <c r="G12" s="12">
        <f t="shared" si="4"/>
        <v>0.80848892070596323</v>
      </c>
      <c r="H12" s="12">
        <f t="shared" si="4"/>
        <v>0.86563305532670332</v>
      </c>
      <c r="I12" s="12">
        <f t="shared" si="4"/>
        <v>0.81048933225488351</v>
      </c>
      <c r="J12" s="12">
        <f t="shared" si="4"/>
        <v>0.81430698086975239</v>
      </c>
      <c r="K12" s="12">
        <f t="shared" si="4"/>
        <v>0.80272302344544744</v>
      </c>
      <c r="L12" s="12">
        <f t="shared" ref="L12:L24" si="5">J12-K12</f>
        <v>1.1583957424304958E-2</v>
      </c>
    </row>
    <row r="13" spans="1:13" x14ac:dyDescent="0.2">
      <c r="A13" t="s">
        <v>67</v>
      </c>
      <c r="B13" t="str">
        <f>VLOOKUP($A13,COA!$A$2:$E$30,2,FALSE)</f>
        <v>Salaries &amp; wages</v>
      </c>
      <c r="C13" t="str">
        <f>VLOOKUP($A13,COA!$A$2:$E$30,3,FALSE)</f>
        <v>Opex</v>
      </c>
      <c r="D13" s="6">
        <f>SUMIFS(Actuals!$F$2:$F$891,Actuals!$D$2:$D$891,$A13,Actuals!$A$2:$A$891,D$3,Actuals!$B$2:$B$891,"US")+SUMIFS(Actuals!$F$2:$F$891,Actuals!$D$2:$D$891,$A13,Actuals!$A$2:$A$891,D$3,Actuals!$B$2:$B$891,"EU")*FX_EUR_USD</f>
        <v>2128809.3200000003</v>
      </c>
      <c r="E13" s="6">
        <f>SUMIFS(Budget!$F$2:$F$1300,Budget!$A$2:$A$1300,E$3,Budget!$D$2:$D$1300,$A13)</f>
        <v>2189430</v>
      </c>
      <c r="F13" s="6">
        <f>SUMIFS(Actuals!$F$2:$F$891,Actuals!$D$2:$D$891,$A13,Actuals!$A$2:$A$891,F$3,Actuals!$B$2:$B$891,"US")+SUMIFS(Actuals!$F$2:$F$891,Actuals!$D$2:$D$891,$A13,Actuals!$A$2:$A$891,F$3,Actuals!$B$2:$B$891,"EU")*FX_EUR_USD</f>
        <v>2117981.7999999998</v>
      </c>
      <c r="G13" s="6">
        <f>SUMIFS(Budget!$F$2:$F$1300,Budget!$A$2:$A$1300,G$3,Budget!$D$2:$D$1300,$A13)</f>
        <v>2210085</v>
      </c>
      <c r="H13" s="6">
        <f>SUMIFS(Actuals!$F$2:$F$891,Actuals!$D$2:$D$891,$A13,Actuals!$A$2:$A$891,H$3,Actuals!$B$2:$B$891,"US")+SUMIFS(Actuals!$F$2:$F$891,Actuals!$D$2:$D$891,$A13,Actuals!$A$2:$A$891,H$3,Actuals!$B$2:$B$891,"EU")*FX_EUR_USD</f>
        <v>1747417.16</v>
      </c>
      <c r="I13" s="6">
        <f>SUMIFS(Budget!$F$2:$F$1300,Budget!$A$2:$A$1300,I$3,Budget!$D$2:$D$1300,$A13)</f>
        <v>2230740</v>
      </c>
      <c r="J13" s="6">
        <f>SUMIFS(Actuals!$F$2:$F$891,Actuals!$D$2:$D$891,$A13,Actuals!$B$2:$B$891,"US")+SUMIFS(Actuals!$F$2:$F$891,Actuals!$D$2:$D$891,$A13,Actuals!$B$2:$B$891,"EU")*FX_EUR_USD</f>
        <v>18495768.560000002</v>
      </c>
      <c r="K13" s="6">
        <f>SUMIFS(Budget!$F$2:$F$1300,Budget!$A$2:$A$1300,"&lt;="&amp;K$3,Budget!$D$2:$D$1300,$A13)</f>
        <v>19333080</v>
      </c>
      <c r="L13" s="6">
        <f t="shared" si="5"/>
        <v>-837311.43999999762</v>
      </c>
      <c r="M13" s="9">
        <f t="shared" ref="M13:M26" si="6">IFERROR(L13/K13,0)</f>
        <v>-4.3309779921254017E-2</v>
      </c>
    </row>
    <row r="14" spans="1:13" x14ac:dyDescent="0.2">
      <c r="A14" t="s">
        <v>71</v>
      </c>
      <c r="B14" t="str">
        <f>VLOOKUP($A14,COA!$A$2:$E$30,2,FALSE)</f>
        <v>Benefits</v>
      </c>
      <c r="C14" t="str">
        <f>VLOOKUP($A14,COA!$A$2:$E$30,3,FALSE)</f>
        <v>Opex</v>
      </c>
      <c r="D14" s="6">
        <f>SUMIFS(Actuals!$F$2:$F$891,Actuals!$D$2:$D$891,$A14,Actuals!$A$2:$A$891,D$3,Actuals!$B$2:$B$891,"US")+SUMIFS(Actuals!$F$2:$F$891,Actuals!$D$2:$D$891,$A14,Actuals!$A$2:$A$891,D$3,Actuals!$B$2:$B$891,"EU")*FX_EUR_USD</f>
        <v>464797.28</v>
      </c>
      <c r="E14" s="6">
        <f>SUMIFS(Budget!$F$2:$F$1300,Budget!$A$2:$A$1300,E$3,Budget!$D$2:$D$1300,$A14)</f>
        <v>481674</v>
      </c>
      <c r="F14" s="6">
        <f>SUMIFS(Actuals!$F$2:$F$891,Actuals!$D$2:$D$891,$A14,Actuals!$A$2:$A$891,F$3,Actuals!$B$2:$B$891,"US")+SUMIFS(Actuals!$F$2:$F$891,Actuals!$D$2:$D$891,$A14,Actuals!$A$2:$A$891,F$3,Actuals!$B$2:$B$891,"EU")*FX_EUR_USD</f>
        <v>466670.76</v>
      </c>
      <c r="G14" s="6">
        <f>SUMIFS(Budget!$F$2:$F$1300,Budget!$A$2:$A$1300,G$3,Budget!$D$2:$D$1300,$A14)</f>
        <v>486219</v>
      </c>
      <c r="H14" s="6">
        <f>SUMIFS(Actuals!$F$2:$F$891,Actuals!$D$2:$D$891,$A14,Actuals!$A$2:$A$891,H$3,Actuals!$B$2:$B$891,"US")+SUMIFS(Actuals!$F$2:$F$891,Actuals!$D$2:$D$891,$A14,Actuals!$A$2:$A$891,H$3,Actuals!$B$2:$B$891,"EU")*FX_EUR_USD</f>
        <v>379578.88</v>
      </c>
      <c r="I14" s="6">
        <f>SUMIFS(Budget!$F$2:$F$1300,Budget!$A$2:$A$1300,I$3,Budget!$D$2:$D$1300,$A14)</f>
        <v>490762</v>
      </c>
      <c r="J14" s="6">
        <f>SUMIFS(Actuals!$F$2:$F$891,Actuals!$D$2:$D$891,$A14,Actuals!$B$2:$B$891,"US")+SUMIFS(Actuals!$F$2:$F$891,Actuals!$D$2:$D$891,$A14,Actuals!$B$2:$B$891,"EU")*FX_EUR_USD</f>
        <v>4070832</v>
      </c>
      <c r="K14" s="6">
        <f>SUMIFS(Budget!$F$2:$F$1300,Budget!$A$2:$A$1300,"&lt;="&amp;K$3,Budget!$D$2:$D$1300,$A14)</f>
        <v>4253276</v>
      </c>
      <c r="L14" s="6">
        <f t="shared" si="5"/>
        <v>-182444</v>
      </c>
      <c r="M14" s="9">
        <f t="shared" si="6"/>
        <v>-4.2894935574366674E-2</v>
      </c>
    </row>
    <row r="15" spans="1:13" x14ac:dyDescent="0.2">
      <c r="A15" t="s">
        <v>73</v>
      </c>
      <c r="B15" t="str">
        <f>VLOOKUP($A15,COA!$A$2:$E$30,2,FALSE)</f>
        <v>Commissions</v>
      </c>
      <c r="C15" t="str">
        <f>VLOOKUP($A15,COA!$A$2:$E$30,3,FALSE)</f>
        <v>Opex</v>
      </c>
      <c r="D15" s="6">
        <f>SUMIFS(Actuals!$F$2:$F$891,Actuals!$D$2:$D$891,$A15,Actuals!$A$2:$A$891,D$3,Actuals!$B$2:$B$891,"US")+SUMIFS(Actuals!$F$2:$F$891,Actuals!$D$2:$D$891,$A15,Actuals!$A$2:$A$891,D$3,Actuals!$B$2:$B$891,"EU")*FX_EUR_USD</f>
        <v>170956.79999999999</v>
      </c>
      <c r="E15" s="6">
        <f>SUMIFS(Budget!$F$2:$F$1300,Budget!$A$2:$A$1300,E$3,Budget!$D$2:$D$1300,$A15)</f>
        <v>165280</v>
      </c>
      <c r="F15" s="6">
        <f>SUMIFS(Actuals!$F$2:$F$891,Actuals!$D$2:$D$891,$A15,Actuals!$A$2:$A$891,F$3,Actuals!$B$2:$B$891,"US")+SUMIFS(Actuals!$F$2:$F$891,Actuals!$D$2:$D$891,$A15,Actuals!$A$2:$A$891,F$3,Actuals!$B$2:$B$891,"EU")*FX_EUR_USD</f>
        <v>170697.60000000001</v>
      </c>
      <c r="G15" s="6">
        <f>SUMIFS(Budget!$F$2:$F$1300,Budget!$A$2:$A$1300,G$3,Budget!$D$2:$D$1300,$A15)</f>
        <v>166840</v>
      </c>
      <c r="H15" s="6">
        <f>SUMIFS(Actuals!$F$2:$F$891,Actuals!$D$2:$D$891,$A15,Actuals!$A$2:$A$891,H$3,Actuals!$B$2:$B$891,"US")+SUMIFS(Actuals!$F$2:$F$891,Actuals!$D$2:$D$891,$A15,Actuals!$A$2:$A$891,H$3,Actuals!$B$2:$B$891,"EU")*FX_EUR_USD</f>
        <v>167150.76</v>
      </c>
      <c r="I15" s="6">
        <f>SUMIFS(Budget!$F$2:$F$1300,Budget!$A$2:$A$1300,I$3,Budget!$D$2:$D$1300,$A15)</f>
        <v>168399</v>
      </c>
      <c r="J15" s="6">
        <f>SUMIFS(Actuals!$F$2:$F$891,Actuals!$D$2:$D$891,$A15,Actuals!$B$2:$B$891,"US")+SUMIFS(Actuals!$F$2:$F$891,Actuals!$D$2:$D$891,$A15,Actuals!$B$2:$B$891,"EU")*FX_EUR_USD</f>
        <v>1456261.56</v>
      </c>
      <c r="K15" s="6">
        <f>SUMIFS(Budget!$F$2:$F$1300,Budget!$A$2:$A$1300,"&lt;="&amp;K$3,Budget!$D$2:$D$1300,$A15)</f>
        <v>1459457</v>
      </c>
      <c r="L15" s="6">
        <f t="shared" si="5"/>
        <v>-3195.4399999999441</v>
      </c>
      <c r="M15" s="9">
        <f t="shared" si="6"/>
        <v>-2.1894718378136142E-3</v>
      </c>
    </row>
    <row r="16" spans="1:13" x14ac:dyDescent="0.2">
      <c r="A16" t="s">
        <v>75</v>
      </c>
      <c r="B16" t="str">
        <f>VLOOKUP($A16,COA!$A$2:$E$30,2,FALSE)</f>
        <v>Bonus accrual</v>
      </c>
      <c r="C16" t="str">
        <f>VLOOKUP($A16,COA!$A$2:$E$30,3,FALSE)</f>
        <v>Opex</v>
      </c>
      <c r="D16" s="6">
        <f>SUMIFS(Actuals!$F$2:$F$891,Actuals!$D$2:$D$891,$A16,Actuals!$A$2:$A$891,D$3,Actuals!$B$2:$B$891,"US")+SUMIFS(Actuals!$F$2:$F$891,Actuals!$D$2:$D$891,$A16,Actuals!$A$2:$A$891,D$3,Actuals!$B$2:$B$891,"EU")*FX_EUR_USD</f>
        <v>211441.4</v>
      </c>
      <c r="E16" s="6">
        <f>SUMIFS(Budget!$F$2:$F$1300,Budget!$A$2:$A$1300,E$3,Budget!$D$2:$D$1300,$A16)</f>
        <v>218943</v>
      </c>
      <c r="F16" s="6">
        <f>SUMIFS(Actuals!$F$2:$F$891,Actuals!$D$2:$D$891,$A16,Actuals!$A$2:$A$891,F$3,Actuals!$B$2:$B$891,"US")+SUMIFS(Actuals!$F$2:$F$891,Actuals!$D$2:$D$891,$A16,Actuals!$A$2:$A$891,F$3,Actuals!$B$2:$B$891,"EU")*FX_EUR_USD</f>
        <v>217581.2</v>
      </c>
      <c r="G16" s="6">
        <f>SUMIFS(Budget!$F$2:$F$1300,Budget!$A$2:$A$1300,G$3,Budget!$D$2:$D$1300,$A16)</f>
        <v>221008</v>
      </c>
      <c r="H16" s="6">
        <f>SUMIFS(Actuals!$F$2:$F$891,Actuals!$D$2:$D$891,$A16,Actuals!$A$2:$A$891,H$3,Actuals!$B$2:$B$891,"US")+SUMIFS(Actuals!$F$2:$F$891,Actuals!$D$2:$D$891,$A16,Actuals!$A$2:$A$891,H$3,Actuals!$B$2:$B$891,"EU")*FX_EUR_USD</f>
        <v>164450</v>
      </c>
      <c r="I16" s="6">
        <f>SUMIFS(Budget!$F$2:$F$1300,Budget!$A$2:$A$1300,I$3,Budget!$D$2:$D$1300,$A16)</f>
        <v>223074</v>
      </c>
      <c r="J16" s="6">
        <f>SUMIFS(Actuals!$F$2:$F$891,Actuals!$D$2:$D$891,$A16,Actuals!$B$2:$B$891,"US")+SUMIFS(Actuals!$F$2:$F$891,Actuals!$D$2:$D$891,$A16,Actuals!$B$2:$B$891,"EU")*FX_EUR_USD</f>
        <v>1853027.48</v>
      </c>
      <c r="K16" s="6">
        <f>SUMIFS(Budget!$F$2:$F$1300,Budget!$A$2:$A$1300,"&lt;="&amp;K$3,Budget!$D$2:$D$1300,$A16)</f>
        <v>1933308</v>
      </c>
      <c r="L16" s="6">
        <f t="shared" si="5"/>
        <v>-80280.520000000019</v>
      </c>
      <c r="M16" s="9">
        <f t="shared" si="6"/>
        <v>-4.1524951016599539E-2</v>
      </c>
    </row>
    <row r="17" spans="1:13" x14ac:dyDescent="0.2">
      <c r="A17" t="s">
        <v>76</v>
      </c>
      <c r="B17" t="str">
        <f>VLOOKUP($A17,COA!$A$2:$E$30,2,FALSE)</f>
        <v>Software &amp; tools</v>
      </c>
      <c r="C17" t="str">
        <f>VLOOKUP($A17,COA!$A$2:$E$30,3,FALSE)</f>
        <v>Opex</v>
      </c>
      <c r="D17" s="6">
        <f>SUMIFS(Actuals!$F$2:$F$891,Actuals!$D$2:$D$891,$A17,Actuals!$A$2:$A$891,D$3,Actuals!$B$2:$B$891,"US")+SUMIFS(Actuals!$F$2:$F$891,Actuals!$D$2:$D$891,$A17,Actuals!$A$2:$A$891,D$3,Actuals!$B$2:$B$891,"EU")*FX_EUR_USD</f>
        <v>132806</v>
      </c>
      <c r="E17" s="6">
        <f>SUMIFS(Budget!$F$2:$F$1300,Budget!$A$2:$A$1300,E$3,Budget!$D$2:$D$1300,$A17)</f>
        <v>131365</v>
      </c>
      <c r="F17" s="6">
        <f>SUMIFS(Actuals!$F$2:$F$891,Actuals!$D$2:$D$891,$A17,Actuals!$A$2:$A$891,F$3,Actuals!$B$2:$B$891,"US")+SUMIFS(Actuals!$F$2:$F$891,Actuals!$D$2:$D$891,$A17,Actuals!$A$2:$A$891,F$3,Actuals!$B$2:$B$891,"EU")*FX_EUR_USD</f>
        <v>128506.32</v>
      </c>
      <c r="G17" s="6">
        <f>SUMIFS(Budget!$F$2:$F$1300,Budget!$A$2:$A$1300,G$3,Budget!$D$2:$D$1300,$A17)</f>
        <v>132604</v>
      </c>
      <c r="H17" s="6">
        <f>SUMIFS(Actuals!$F$2:$F$891,Actuals!$D$2:$D$891,$A17,Actuals!$A$2:$A$891,H$3,Actuals!$B$2:$B$891,"US")+SUMIFS(Actuals!$F$2:$F$891,Actuals!$D$2:$D$891,$A17,Actuals!$A$2:$A$891,H$3,Actuals!$B$2:$B$891,"EU")*FX_EUR_USD</f>
        <v>100129</v>
      </c>
      <c r="I17" s="6">
        <f>SUMIFS(Budget!$F$2:$F$1300,Budget!$A$2:$A$1300,I$3,Budget!$D$2:$D$1300,$A17)</f>
        <v>133845</v>
      </c>
      <c r="J17" s="6">
        <f>SUMIFS(Actuals!$F$2:$F$891,Actuals!$D$2:$D$891,$A17,Actuals!$B$2:$B$891,"US")+SUMIFS(Actuals!$F$2:$F$891,Actuals!$D$2:$D$891,$A17,Actuals!$B$2:$B$891,"EU")*FX_EUR_USD</f>
        <v>1124933.3999999999</v>
      </c>
      <c r="K17" s="6">
        <f>SUMIFS(Budget!$F$2:$F$1300,Budget!$A$2:$A$1300,"&lt;="&amp;K$3,Budget!$D$2:$D$1300,$A17)</f>
        <v>1159983</v>
      </c>
      <c r="L17" s="6">
        <f t="shared" si="5"/>
        <v>-35049.600000000093</v>
      </c>
      <c r="M17" s="9">
        <f t="shared" si="6"/>
        <v>-3.0215615228843952E-2</v>
      </c>
    </row>
    <row r="18" spans="1:13" x14ac:dyDescent="0.2">
      <c r="A18" t="s">
        <v>79</v>
      </c>
      <c r="B18" t="str">
        <f>VLOOKUP($A18,COA!$A$2:$E$30,2,FALSE)</f>
        <v>Travel &amp; entertainment</v>
      </c>
      <c r="C18" t="str">
        <f>VLOOKUP($A18,COA!$A$2:$E$30,3,FALSE)</f>
        <v>Opex</v>
      </c>
      <c r="D18" s="6">
        <f>SUMIFS(Actuals!$F$2:$F$891,Actuals!$D$2:$D$891,$A18,Actuals!$A$2:$A$891,D$3,Actuals!$B$2:$B$891,"US")+SUMIFS(Actuals!$F$2:$F$891,Actuals!$D$2:$D$891,$A18,Actuals!$A$2:$A$891,D$3,Actuals!$B$2:$B$891,"EU")*FX_EUR_USD</f>
        <v>114627.32</v>
      </c>
      <c r="E18" s="6">
        <f>SUMIFS(Budget!$F$2:$F$1300,Budget!$A$2:$A$1300,E$3,Budget!$D$2:$D$1300,$A18)</f>
        <v>115053</v>
      </c>
      <c r="F18" s="6">
        <f>SUMIFS(Actuals!$F$2:$F$891,Actuals!$D$2:$D$891,$A18,Actuals!$A$2:$A$891,F$3,Actuals!$B$2:$B$891,"US")+SUMIFS(Actuals!$F$2:$F$891,Actuals!$D$2:$D$891,$A18,Actuals!$A$2:$A$891,F$3,Actuals!$B$2:$B$891,"EU")*FX_EUR_USD</f>
        <v>113484.6</v>
      </c>
      <c r="G18" s="6">
        <f>SUMIFS(Budget!$F$2:$F$1300,Budget!$A$2:$A$1300,G$3,Budget!$D$2:$D$1300,$A18)</f>
        <v>116139</v>
      </c>
      <c r="H18" s="6">
        <f>SUMIFS(Actuals!$F$2:$F$891,Actuals!$D$2:$D$891,$A18,Actuals!$A$2:$A$891,H$3,Actuals!$B$2:$B$891,"US")+SUMIFS(Actuals!$F$2:$F$891,Actuals!$D$2:$D$891,$A18,Actuals!$A$2:$A$891,H$3,Actuals!$B$2:$B$891,"EU")*FX_EUR_USD</f>
        <v>85342</v>
      </c>
      <c r="I18" s="6">
        <f>SUMIFS(Budget!$F$2:$F$1300,Budget!$A$2:$A$1300,I$3,Budget!$D$2:$D$1300,$A18)</f>
        <v>117222</v>
      </c>
      <c r="J18" s="6">
        <f>SUMIFS(Actuals!$F$2:$F$891,Actuals!$D$2:$D$891,$A18,Actuals!$B$2:$B$891,"US")+SUMIFS(Actuals!$F$2:$F$891,Actuals!$D$2:$D$891,$A18,Actuals!$B$2:$B$891,"EU")*FX_EUR_USD</f>
        <v>979542.6</v>
      </c>
      <c r="K18" s="6">
        <f>SUMIFS(Budget!$F$2:$F$1300,Budget!$A$2:$A$1300,"&lt;="&amp;K$3,Budget!$D$2:$D$1300,$A18)</f>
        <v>1015935</v>
      </c>
      <c r="L18" s="6">
        <f t="shared" si="5"/>
        <v>-36392.400000000023</v>
      </c>
      <c r="M18" s="9">
        <f t="shared" si="6"/>
        <v>-3.5821583073720291E-2</v>
      </c>
    </row>
    <row r="19" spans="1:13" x14ac:dyDescent="0.2">
      <c r="A19" t="s">
        <v>81</v>
      </c>
      <c r="B19" t="str">
        <f>VLOOKUP($A19,COA!$A$2:$E$30,2,FALSE)</f>
        <v>Marketing programs</v>
      </c>
      <c r="C19" t="str">
        <f>VLOOKUP($A19,COA!$A$2:$E$30,3,FALSE)</f>
        <v>Opex</v>
      </c>
      <c r="D19" s="6">
        <f>SUMIFS(Actuals!$F$2:$F$891,Actuals!$D$2:$D$891,$A19,Actuals!$A$2:$A$891,D$3,Actuals!$B$2:$B$891,"US")+SUMIFS(Actuals!$F$2:$F$891,Actuals!$D$2:$D$891,$A19,Actuals!$A$2:$A$891,D$3,Actuals!$B$2:$B$891,"EU")*FX_EUR_USD</f>
        <v>286446.12</v>
      </c>
      <c r="E19" s="6">
        <f>SUMIFS(Budget!$F$2:$F$1300,Budget!$A$2:$A$1300,E$3,Budget!$D$2:$D$1300,$A19)</f>
        <v>289778</v>
      </c>
      <c r="F19" s="6">
        <f>SUMIFS(Actuals!$F$2:$F$891,Actuals!$D$2:$D$891,$A19,Actuals!$A$2:$A$891,F$3,Actuals!$B$2:$B$891,"US")+SUMIFS(Actuals!$F$2:$F$891,Actuals!$D$2:$D$891,$A19,Actuals!$A$2:$A$891,F$3,Actuals!$B$2:$B$891,"EU")*FX_EUR_USD</f>
        <v>292313.08</v>
      </c>
      <c r="G19" s="6">
        <f>SUMIFS(Budget!$F$2:$F$1300,Budget!$A$2:$A$1300,G$3,Budget!$D$2:$D$1300,$A19)</f>
        <v>292511</v>
      </c>
      <c r="H19" s="6">
        <f>SUMIFS(Actuals!$F$2:$F$891,Actuals!$D$2:$D$891,$A19,Actuals!$A$2:$A$891,H$3,Actuals!$B$2:$B$891,"US")+SUMIFS(Actuals!$F$2:$F$891,Actuals!$D$2:$D$891,$A19,Actuals!$A$2:$A$891,H$3,Actuals!$B$2:$B$891,"EU")*FX_EUR_USD</f>
        <v>193496</v>
      </c>
      <c r="I19" s="6">
        <f>SUMIFS(Budget!$F$2:$F$1300,Budget!$A$2:$A$1300,I$3,Budget!$D$2:$D$1300,$A19)</f>
        <v>295245</v>
      </c>
      <c r="J19" s="6">
        <f>SUMIFS(Actuals!$F$2:$F$891,Actuals!$D$2:$D$891,$A19,Actuals!$B$2:$B$891,"US")+SUMIFS(Actuals!$F$2:$F$891,Actuals!$D$2:$D$891,$A19,Actuals!$B$2:$B$891,"EU")*FX_EUR_USD</f>
        <v>2990335.24</v>
      </c>
      <c r="K19" s="6">
        <f>SUMIFS(Budget!$F$2:$F$1300,Budget!$A$2:$A$1300,"&lt;="&amp;K$3,Budget!$D$2:$D$1300,$A19)</f>
        <v>2558790</v>
      </c>
      <c r="L19" s="6">
        <f t="shared" si="5"/>
        <v>431545.24000000022</v>
      </c>
      <c r="M19" s="9">
        <f t="shared" si="6"/>
        <v>0.16865207383177214</v>
      </c>
    </row>
    <row r="20" spans="1:13" x14ac:dyDescent="0.2">
      <c r="A20" t="s">
        <v>83</v>
      </c>
      <c r="B20" t="str">
        <f>VLOOKUP($A20,COA!$A$2:$E$30,2,FALSE)</f>
        <v>Rent &amp; facilities</v>
      </c>
      <c r="C20" t="str">
        <f>VLOOKUP($A20,COA!$A$2:$E$30,3,FALSE)</f>
        <v>Opex</v>
      </c>
      <c r="D20" s="6">
        <f>SUMIFS(Actuals!$F$2:$F$891,Actuals!$D$2:$D$891,$A20,Actuals!$A$2:$A$891,D$3,Actuals!$B$2:$B$891,"US")+SUMIFS(Actuals!$F$2:$F$891,Actuals!$D$2:$D$891,$A20,Actuals!$A$2:$A$891,D$3,Actuals!$B$2:$B$891,"EU")*FX_EUR_USD</f>
        <v>182917.12</v>
      </c>
      <c r="E20" s="6">
        <f>SUMIFS(Budget!$F$2:$F$1300,Budget!$A$2:$A$1300,E$3,Budget!$D$2:$D$1300,$A20)</f>
        <v>182596</v>
      </c>
      <c r="F20" s="6">
        <f>SUMIFS(Actuals!$F$2:$F$891,Actuals!$D$2:$D$891,$A20,Actuals!$A$2:$A$891,F$3,Actuals!$B$2:$B$891,"US")+SUMIFS(Actuals!$F$2:$F$891,Actuals!$D$2:$D$891,$A20,Actuals!$A$2:$A$891,F$3,Actuals!$B$2:$B$891,"EU")*FX_EUR_USD</f>
        <v>181835.04</v>
      </c>
      <c r="G20" s="6">
        <f>SUMIFS(Budget!$F$2:$F$1300,Budget!$A$2:$A$1300,G$3,Budget!$D$2:$D$1300,$A20)</f>
        <v>184318</v>
      </c>
      <c r="H20" s="6">
        <f>SUMIFS(Actuals!$F$2:$F$891,Actuals!$D$2:$D$891,$A20,Actuals!$A$2:$A$891,H$3,Actuals!$B$2:$B$891,"US")+SUMIFS(Actuals!$F$2:$F$891,Actuals!$D$2:$D$891,$A20,Actuals!$A$2:$A$891,H$3,Actuals!$B$2:$B$891,"EU")*FX_EUR_USD</f>
        <v>151551</v>
      </c>
      <c r="I20" s="6">
        <f>SUMIFS(Budget!$F$2:$F$1300,Budget!$A$2:$A$1300,I$3,Budget!$D$2:$D$1300,$A20)</f>
        <v>186041</v>
      </c>
      <c r="J20" s="6">
        <f>SUMIFS(Actuals!$F$2:$F$891,Actuals!$D$2:$D$891,$A20,Actuals!$B$2:$B$891,"US")+SUMIFS(Actuals!$F$2:$F$891,Actuals!$D$2:$D$891,$A20,Actuals!$B$2:$B$891,"EU")*FX_EUR_USD</f>
        <v>1593217</v>
      </c>
      <c r="K20" s="6">
        <f>SUMIFS(Budget!$F$2:$F$1300,Budget!$A$2:$A$1300,"&lt;="&amp;K$3,Budget!$D$2:$D$1300,$A20)</f>
        <v>1612354</v>
      </c>
      <c r="L20" s="6">
        <f t="shared" si="5"/>
        <v>-19137</v>
      </c>
      <c r="M20" s="9">
        <f t="shared" si="6"/>
        <v>-1.1868981625623156E-2</v>
      </c>
    </row>
    <row r="21" spans="1:13" x14ac:dyDescent="0.2">
      <c r="A21" t="s">
        <v>85</v>
      </c>
      <c r="B21" t="str">
        <f>VLOOKUP($A21,COA!$A$2:$E$30,2,FALSE)</f>
        <v>Professional fees</v>
      </c>
      <c r="C21" t="str">
        <f>VLOOKUP($A21,COA!$A$2:$E$30,3,FALSE)</f>
        <v>Opex</v>
      </c>
      <c r="D21" s="6">
        <f>SUMIFS(Actuals!$F$2:$F$891,Actuals!$D$2:$D$891,$A21,Actuals!$A$2:$A$891,D$3,Actuals!$B$2:$B$891,"US")+SUMIFS(Actuals!$F$2:$F$891,Actuals!$D$2:$D$891,$A21,Actuals!$A$2:$A$891,D$3,Actuals!$B$2:$B$891,"EU")*FX_EUR_USD</f>
        <v>99174.760000000009</v>
      </c>
      <c r="E21" s="6">
        <f>SUMIFS(Budget!$F$2:$F$1300,Budget!$A$2:$A$1300,E$3,Budget!$D$2:$D$1300,$A21)</f>
        <v>100742</v>
      </c>
      <c r="F21" s="6">
        <f>SUMIFS(Actuals!$F$2:$F$891,Actuals!$D$2:$D$891,$A21,Actuals!$A$2:$A$891,F$3,Actuals!$B$2:$B$891,"US")+SUMIFS(Actuals!$F$2:$F$891,Actuals!$D$2:$D$891,$A21,Actuals!$A$2:$A$891,F$3,Actuals!$B$2:$B$891,"EU")*FX_EUR_USD</f>
        <v>107207.28</v>
      </c>
      <c r="G21" s="6">
        <f>SUMIFS(Budget!$F$2:$F$1300,Budget!$A$2:$A$1300,G$3,Budget!$D$2:$D$1300,$A21)</f>
        <v>101693</v>
      </c>
      <c r="H21" s="6">
        <f>SUMIFS(Actuals!$F$2:$F$891,Actuals!$D$2:$D$891,$A21,Actuals!$A$2:$A$891,H$3,Actuals!$B$2:$B$891,"US")+SUMIFS(Actuals!$F$2:$F$891,Actuals!$D$2:$D$891,$A21,Actuals!$A$2:$A$891,H$3,Actuals!$B$2:$B$891,"EU")*FX_EUR_USD</f>
        <v>82574</v>
      </c>
      <c r="I21" s="6">
        <f>SUMIFS(Budget!$F$2:$F$1300,Budget!$A$2:$A$1300,I$3,Budget!$D$2:$D$1300,$A21)</f>
        <v>102643</v>
      </c>
      <c r="J21" s="6">
        <f>SUMIFS(Actuals!$F$2:$F$891,Actuals!$D$2:$D$891,$A21,Actuals!$B$2:$B$891,"US")+SUMIFS(Actuals!$F$2:$F$891,Actuals!$D$2:$D$891,$A21,Actuals!$B$2:$B$891,"EU")*FX_EUR_USD</f>
        <v>872844.88</v>
      </c>
      <c r="K21" s="6">
        <f>SUMIFS(Budget!$F$2:$F$1300,Budget!$A$2:$A$1300,"&lt;="&amp;K$3,Budget!$D$2:$D$1300,$A21)</f>
        <v>889574</v>
      </c>
      <c r="L21" s="6">
        <f t="shared" si="5"/>
        <v>-16729.119999999995</v>
      </c>
      <c r="M21" s="9">
        <f t="shared" si="6"/>
        <v>-1.8805765456274572E-2</v>
      </c>
    </row>
    <row r="22" spans="1:13" x14ac:dyDescent="0.2">
      <c r="A22" t="s">
        <v>87</v>
      </c>
      <c r="B22" t="str">
        <f>VLOOKUP($A22,COA!$A$2:$E$30,2,FALSE)</f>
        <v>Recruiting</v>
      </c>
      <c r="C22" t="str">
        <f>VLOOKUP($A22,COA!$A$2:$E$30,3,FALSE)</f>
        <v>Opex</v>
      </c>
      <c r="D22" s="6">
        <f>SUMIFS(Actuals!$F$2:$F$891,Actuals!$D$2:$D$891,$A22,Actuals!$A$2:$A$891,D$3,Actuals!$B$2:$B$891,"US")+SUMIFS(Actuals!$F$2:$F$891,Actuals!$D$2:$D$891,$A22,Actuals!$A$2:$A$891,D$3,Actuals!$B$2:$B$891,"EU")*FX_EUR_USD</f>
        <v>66790.8</v>
      </c>
      <c r="E22" s="6">
        <f>SUMIFS(Budget!$F$2:$F$1300,Budget!$A$2:$A$1300,E$3,Budget!$D$2:$D$1300,$A22)</f>
        <v>65684</v>
      </c>
      <c r="F22" s="6">
        <f>SUMIFS(Actuals!$F$2:$F$891,Actuals!$D$2:$D$891,$A22,Actuals!$A$2:$A$891,F$3,Actuals!$B$2:$B$891,"US")+SUMIFS(Actuals!$F$2:$F$891,Actuals!$D$2:$D$891,$A22,Actuals!$A$2:$A$891,F$3,Actuals!$B$2:$B$891,"EU")*FX_EUR_USD</f>
        <v>66202</v>
      </c>
      <c r="G22" s="6">
        <f>SUMIFS(Budget!$F$2:$F$1300,Budget!$A$2:$A$1300,G$3,Budget!$D$2:$D$1300,$A22)</f>
        <v>66303</v>
      </c>
      <c r="H22" s="6">
        <f>SUMIFS(Actuals!$F$2:$F$891,Actuals!$D$2:$D$891,$A22,Actuals!$A$2:$A$891,H$3,Actuals!$B$2:$B$891,"US")+SUMIFS(Actuals!$F$2:$F$891,Actuals!$D$2:$D$891,$A22,Actuals!$A$2:$A$891,H$3,Actuals!$B$2:$B$891,"EU")*FX_EUR_USD</f>
        <v>50024</v>
      </c>
      <c r="I22" s="6">
        <f>SUMIFS(Budget!$F$2:$F$1300,Budget!$A$2:$A$1300,I$3,Budget!$D$2:$D$1300,$A22)</f>
        <v>66923</v>
      </c>
      <c r="J22" s="6">
        <f>SUMIFS(Actuals!$F$2:$F$891,Actuals!$D$2:$D$891,$A22,Actuals!$B$2:$B$891,"US")+SUMIFS(Actuals!$F$2:$F$891,Actuals!$D$2:$D$891,$A22,Actuals!$B$2:$B$891,"EU")*FX_EUR_USD</f>
        <v>568305.16</v>
      </c>
      <c r="K22" s="6">
        <f>SUMIFS(Budget!$F$2:$F$1300,Budget!$A$2:$A$1300,"&lt;="&amp;K$3,Budget!$D$2:$D$1300,$A22)</f>
        <v>579995</v>
      </c>
      <c r="L22" s="6">
        <f t="shared" si="5"/>
        <v>-11689.839999999967</v>
      </c>
      <c r="M22" s="9">
        <f t="shared" si="6"/>
        <v>-2.0155070302330137E-2</v>
      </c>
    </row>
    <row r="23" spans="1:13" x14ac:dyDescent="0.2">
      <c r="A23" t="s">
        <v>89</v>
      </c>
      <c r="B23" t="str">
        <f>VLOOKUP($A23,COA!$A$2:$E$30,2,FALSE)</f>
        <v>Contractors</v>
      </c>
      <c r="C23" t="str">
        <f>VLOOKUP($A23,COA!$A$2:$E$30,3,FALSE)</f>
        <v>Opex</v>
      </c>
      <c r="D23" s="6">
        <f>SUMIFS(Actuals!$F$2:$F$891,Actuals!$D$2:$D$891,$A23,Actuals!$A$2:$A$891,D$3,Actuals!$B$2:$B$891,"US")+SUMIFS(Actuals!$F$2:$F$891,Actuals!$D$2:$D$891,$A23,Actuals!$A$2:$A$891,D$3,Actuals!$B$2:$B$891,"EU")*FX_EUR_USD</f>
        <v>128004.56</v>
      </c>
      <c r="E23" s="6">
        <f>SUMIFS(Budget!$F$2:$F$1300,Budget!$A$2:$A$1300,E$3,Budget!$D$2:$D$1300,$A23)</f>
        <v>126500</v>
      </c>
      <c r="F23" s="6">
        <f>SUMIFS(Actuals!$F$2:$F$891,Actuals!$D$2:$D$891,$A23,Actuals!$A$2:$A$891,F$3,Actuals!$B$2:$B$891,"US")+SUMIFS(Actuals!$F$2:$F$891,Actuals!$D$2:$D$891,$A23,Actuals!$A$2:$A$891,F$3,Actuals!$B$2:$B$891,"EU")*FX_EUR_USD</f>
        <v>125988</v>
      </c>
      <c r="G23" s="6">
        <f>SUMIFS(Budget!$F$2:$F$1300,Budget!$A$2:$A$1300,G$3,Budget!$D$2:$D$1300,$A23)</f>
        <v>127694</v>
      </c>
      <c r="H23" s="6">
        <f>SUMIFS(Actuals!$F$2:$F$891,Actuals!$D$2:$D$891,$A23,Actuals!$A$2:$A$891,H$3,Actuals!$B$2:$B$891,"US")+SUMIFS(Actuals!$F$2:$F$891,Actuals!$D$2:$D$891,$A23,Actuals!$A$2:$A$891,H$3,Actuals!$B$2:$B$891,"EU")*FX_EUR_USD</f>
        <v>99105</v>
      </c>
      <c r="I23" s="6">
        <f>SUMIFS(Budget!$F$2:$F$1300,Budget!$A$2:$A$1300,I$3,Budget!$D$2:$D$1300,$A23)</f>
        <v>128887</v>
      </c>
      <c r="J23" s="6">
        <f>SUMIFS(Actuals!$F$2:$F$891,Actuals!$D$2:$D$891,$A23,Actuals!$B$2:$B$891,"US")+SUMIFS(Actuals!$F$2:$F$891,Actuals!$D$2:$D$891,$A23,Actuals!$B$2:$B$891,"EU")*FX_EUR_USD</f>
        <v>1089732.76</v>
      </c>
      <c r="K23" s="6">
        <f>SUMIFS(Budget!$F$2:$F$1300,Budget!$A$2:$A$1300,"&lt;="&amp;K$3,Budget!$D$2:$D$1300,$A23)</f>
        <v>1117022</v>
      </c>
      <c r="L23" s="6">
        <f t="shared" si="5"/>
        <v>-27289.239999999991</v>
      </c>
      <c r="M23" s="9">
        <f t="shared" si="6"/>
        <v>-2.4430351416534313E-2</v>
      </c>
    </row>
    <row r="24" spans="1:13" x14ac:dyDescent="0.2">
      <c r="A24" t="s">
        <v>91</v>
      </c>
      <c r="B24" t="str">
        <f>VLOOKUP($A24,COA!$A$2:$E$30,2,FALSE)</f>
        <v>Other opex</v>
      </c>
      <c r="C24" t="str">
        <f>VLOOKUP($A24,COA!$A$2:$E$30,3,FALSE)</f>
        <v>Opex</v>
      </c>
      <c r="D24" s="6">
        <f>SUMIFS(Actuals!$F$2:$F$891,Actuals!$D$2:$D$891,$A24,Actuals!$A$2:$A$891,D$3,Actuals!$B$2:$B$891,"US")+SUMIFS(Actuals!$F$2:$F$891,Actuals!$D$2:$D$891,$A24,Actuals!$A$2:$A$891,D$3,Actuals!$B$2:$B$891,"EU")*FX_EUR_USD</f>
        <v>44501.56</v>
      </c>
      <c r="E24" s="6">
        <f>SUMIFS(Budget!$F$2:$F$1300,Budget!$A$2:$A$1300,E$3,Budget!$D$2:$D$1300,$A24)</f>
        <v>43788</v>
      </c>
      <c r="F24" s="6">
        <f>SUMIFS(Actuals!$F$2:$F$891,Actuals!$D$2:$D$891,$A24,Actuals!$A$2:$A$891,F$3,Actuals!$B$2:$B$891,"US")+SUMIFS(Actuals!$F$2:$F$891,Actuals!$D$2:$D$891,$A24,Actuals!$A$2:$A$891,F$3,Actuals!$B$2:$B$891,"EU")*FX_EUR_USD</f>
        <v>44031.12</v>
      </c>
      <c r="G24" s="6">
        <f>SUMIFS(Budget!$F$2:$F$1300,Budget!$A$2:$A$1300,G$3,Budget!$D$2:$D$1300,$A24)</f>
        <v>44203</v>
      </c>
      <c r="H24" s="6">
        <f>SUMIFS(Actuals!$F$2:$F$891,Actuals!$D$2:$D$891,$A24,Actuals!$A$2:$A$891,H$3,Actuals!$B$2:$B$891,"US")+SUMIFS(Actuals!$F$2:$F$891,Actuals!$D$2:$D$891,$A24,Actuals!$A$2:$A$891,H$3,Actuals!$B$2:$B$891,"EU")*FX_EUR_USD</f>
        <v>32944</v>
      </c>
      <c r="I24" s="6">
        <f>SUMIFS(Budget!$F$2:$F$1300,Budget!$A$2:$A$1300,I$3,Budget!$D$2:$D$1300,$A24)</f>
        <v>44614</v>
      </c>
      <c r="J24" s="6">
        <f>SUMIFS(Actuals!$F$2:$F$891,Actuals!$D$2:$D$891,$A24,Actuals!$B$2:$B$891,"US")+SUMIFS(Actuals!$F$2:$F$891,Actuals!$D$2:$D$891,$A24,Actuals!$B$2:$B$891,"EU")*FX_EUR_USD</f>
        <v>377614.8</v>
      </c>
      <c r="K24" s="6">
        <f>SUMIFS(Budget!$F$2:$F$1300,Budget!$A$2:$A$1300,"&lt;="&amp;K$3,Budget!$D$2:$D$1300,$A24)</f>
        <v>386662</v>
      </c>
      <c r="L24" s="6">
        <f t="shared" si="5"/>
        <v>-9047.2000000000116</v>
      </c>
      <c r="M24" s="9">
        <f t="shared" si="6"/>
        <v>-2.3398213426713801E-2</v>
      </c>
    </row>
    <row r="25" spans="1:13" x14ac:dyDescent="0.2">
      <c r="B25" s="1" t="s">
        <v>156</v>
      </c>
      <c r="D25" s="10">
        <f t="shared" ref="D25:L25" si="7">SUM(D13:D24)</f>
        <v>4031273.04</v>
      </c>
      <c r="E25" s="10">
        <f t="shared" si="7"/>
        <v>4110833</v>
      </c>
      <c r="F25" s="10">
        <f t="shared" si="7"/>
        <v>4032498.8</v>
      </c>
      <c r="G25" s="10">
        <f t="shared" si="7"/>
        <v>4149617</v>
      </c>
      <c r="H25" s="10">
        <f t="shared" si="7"/>
        <v>3253761.8</v>
      </c>
      <c r="I25" s="10">
        <f t="shared" si="7"/>
        <v>4188395</v>
      </c>
      <c r="J25" s="10">
        <f t="shared" si="7"/>
        <v>35472415.439999998</v>
      </c>
      <c r="K25" s="10">
        <f t="shared" si="7"/>
        <v>36299436</v>
      </c>
      <c r="L25" s="10">
        <f t="shared" si="7"/>
        <v>-827020.55999999726</v>
      </c>
      <c r="M25" s="11">
        <f t="shared" si="6"/>
        <v>-2.2783289525490073E-2</v>
      </c>
    </row>
    <row r="26" spans="1:13" x14ac:dyDescent="0.2">
      <c r="B26" s="1" t="s">
        <v>157</v>
      </c>
      <c r="D26" s="10">
        <f t="shared" ref="D26:L26" si="8">D11-D25</f>
        <v>-450522.88000000035</v>
      </c>
      <c r="E26" s="10">
        <f t="shared" si="8"/>
        <v>-604148</v>
      </c>
      <c r="F26" s="10">
        <f t="shared" si="8"/>
        <v>-380022.79999999935</v>
      </c>
      <c r="G26" s="10">
        <f t="shared" si="8"/>
        <v>-563908</v>
      </c>
      <c r="H26" s="10">
        <f t="shared" si="8"/>
        <v>729587.24000000022</v>
      </c>
      <c r="I26" s="10">
        <f t="shared" si="8"/>
        <v>-521922</v>
      </c>
      <c r="J26" s="10">
        <f t="shared" si="8"/>
        <v>-4089369.2399999946</v>
      </c>
      <c r="K26" s="10">
        <f t="shared" si="8"/>
        <v>-6066783</v>
      </c>
      <c r="L26" s="10">
        <f t="shared" si="8"/>
        <v>1977413.7599999991</v>
      </c>
      <c r="M26" s="11">
        <f t="shared" si="6"/>
        <v>-0.32594107288821755</v>
      </c>
    </row>
    <row r="27" spans="1:13" x14ac:dyDescent="0.2">
      <c r="B27" s="1" t="s">
        <v>158</v>
      </c>
      <c r="D27" s="12">
        <f t="shared" ref="D27:K27" si="9">IFERROR(D26/D7,0)</f>
        <v>-0.1021653185384603</v>
      </c>
      <c r="E27" s="12">
        <f t="shared" si="9"/>
        <v>-0.13894487102796085</v>
      </c>
      <c r="F27" s="12">
        <f t="shared" si="9"/>
        <v>-8.392083891848201E-2</v>
      </c>
      <c r="G27" s="12">
        <f t="shared" si="9"/>
        <v>-0.12714734249138965</v>
      </c>
      <c r="H27" s="12">
        <f t="shared" si="9"/>
        <v>0.15854870495822204</v>
      </c>
      <c r="I27" s="12">
        <f t="shared" si="9"/>
        <v>-0.11537306105053366</v>
      </c>
      <c r="J27" s="12">
        <f t="shared" si="9"/>
        <v>-0.10610830759590283</v>
      </c>
      <c r="K27" s="12">
        <f t="shared" si="9"/>
        <v>-0.16108233678160636</v>
      </c>
      <c r="L27" s="12">
        <f>J27-K27</f>
        <v>5.497402918570353E-2</v>
      </c>
    </row>
    <row r="30" spans="1:13" x14ac:dyDescent="0.2">
      <c r="A30" s="1" t="s">
        <v>159</v>
      </c>
    </row>
    <row r="31" spans="1:13" x14ac:dyDescent="0.2">
      <c r="A31" s="2" t="s">
        <v>94</v>
      </c>
      <c r="B31" s="2" t="s">
        <v>160</v>
      </c>
      <c r="C31" s="2" t="s">
        <v>161</v>
      </c>
      <c r="D31" s="2" t="s">
        <v>162</v>
      </c>
    </row>
    <row r="32" spans="1:13" x14ac:dyDescent="0.2">
      <c r="A32" t="s">
        <v>98</v>
      </c>
      <c r="B32">
        <v>21</v>
      </c>
      <c r="C32">
        <v>22</v>
      </c>
      <c r="D32">
        <f t="shared" ref="D32:D37" si="10">B32-C32</f>
        <v>-1</v>
      </c>
    </row>
    <row r="33" spans="1:4" x14ac:dyDescent="0.2">
      <c r="A33" t="s">
        <v>103</v>
      </c>
      <c r="B33">
        <v>12</v>
      </c>
      <c r="C33">
        <v>13</v>
      </c>
      <c r="D33">
        <f t="shared" si="10"/>
        <v>-1</v>
      </c>
    </row>
    <row r="34" spans="1:4" x14ac:dyDescent="0.2">
      <c r="A34" t="s">
        <v>107</v>
      </c>
      <c r="B34">
        <v>16</v>
      </c>
      <c r="C34">
        <v>16</v>
      </c>
      <c r="D34">
        <f t="shared" si="10"/>
        <v>0</v>
      </c>
    </row>
    <row r="35" spans="1:4" x14ac:dyDescent="0.2">
      <c r="A35" t="s">
        <v>47</v>
      </c>
      <c r="B35">
        <v>45</v>
      </c>
      <c r="C35">
        <v>51</v>
      </c>
      <c r="D35">
        <f t="shared" si="10"/>
        <v>-6</v>
      </c>
    </row>
    <row r="36" spans="1:4" x14ac:dyDescent="0.2">
      <c r="A36" t="s">
        <v>115</v>
      </c>
      <c r="B36">
        <v>8</v>
      </c>
      <c r="C36">
        <v>9</v>
      </c>
      <c r="D36">
        <f t="shared" si="10"/>
        <v>-1</v>
      </c>
    </row>
    <row r="37" spans="1:4" x14ac:dyDescent="0.2">
      <c r="A37" t="s">
        <v>119</v>
      </c>
      <c r="B37">
        <v>10</v>
      </c>
      <c r="C37">
        <v>10</v>
      </c>
      <c r="D37">
        <f t="shared" si="10"/>
        <v>0</v>
      </c>
    </row>
    <row r="38" spans="1:4" x14ac:dyDescent="0.2">
      <c r="A38" s="1" t="s">
        <v>163</v>
      </c>
      <c r="B38" s="13">
        <f>SUM(B32:B37)</f>
        <v>112</v>
      </c>
      <c r="C38" s="13">
        <f>SUM(C32:C37)</f>
        <v>121</v>
      </c>
      <c r="D38" s="13">
        <f>SUM(D32:D37)</f>
        <v>-9</v>
      </c>
    </row>
    <row r="41" spans="1:4" x14ac:dyDescent="0.2">
      <c r="A41" s="1" t="s">
        <v>164</v>
      </c>
    </row>
    <row r="42" spans="1:4" x14ac:dyDescent="0.2">
      <c r="A42" t="s">
        <v>165</v>
      </c>
    </row>
    <row r="43" spans="1:4" x14ac:dyDescent="0.2">
      <c r="A43" t="s">
        <v>166</v>
      </c>
    </row>
    <row r="44" spans="1:4" x14ac:dyDescent="0.2">
      <c r="A44" t="s">
        <v>167</v>
      </c>
    </row>
    <row r="45" spans="1:4" x14ac:dyDescent="0.2">
      <c r="A45" t="s">
        <v>168</v>
      </c>
    </row>
  </sheetData>
  <mergeCells count="1">
    <mergeCell ref="A1:M1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/>
  </sheetViews>
  <sheetFormatPr baseColWidth="10" defaultColWidth="8.83203125" defaultRowHeight="15" x14ac:dyDescent="0.2"/>
  <cols>
    <col min="1" max="1" width="10" customWidth="1"/>
    <col min="2" max="2" width="20" customWidth="1"/>
    <col min="3" max="3" width="18" customWidth="1"/>
    <col min="4" max="6" width="14" customWidth="1"/>
    <col min="7" max="8" width="9" customWidth="1"/>
    <col min="9" max="9" width="110" customWidth="1"/>
  </cols>
  <sheetData>
    <row r="1" spans="1:9" x14ac:dyDescent="0.2">
      <c r="A1" s="2" t="s">
        <v>93</v>
      </c>
      <c r="B1" s="2" t="s">
        <v>94</v>
      </c>
      <c r="C1" s="2" t="s">
        <v>22</v>
      </c>
      <c r="D1" s="2" t="s">
        <v>148</v>
      </c>
      <c r="E1" s="2" t="s">
        <v>149</v>
      </c>
      <c r="F1" s="2" t="s">
        <v>162</v>
      </c>
      <c r="G1" s="2" t="s">
        <v>169</v>
      </c>
      <c r="H1" s="2" t="s">
        <v>170</v>
      </c>
      <c r="I1" s="2" t="s">
        <v>171</v>
      </c>
    </row>
    <row r="2" spans="1:9" x14ac:dyDescent="0.2">
      <c r="A2" t="s">
        <v>97</v>
      </c>
      <c r="B2" t="str">
        <f>VLOOKUP($A2,Departments!$A$2:$E$8,2,FALSE)</f>
        <v>Sales</v>
      </c>
      <c r="C2" t="str">
        <f>VLOOKUP($A2,Departments!$A$2:$E$8,4,FALSE)</f>
        <v>Priya Natarajan</v>
      </c>
      <c r="D2" s="6">
        <f>SUMIFS(Actuals!$F$2:$F$891,Actuals!$C$2:$C$891,$A2,Actuals!$B$2:$B$891,"US")+SUMIFS(Actuals!$F$2:$F$891,Actuals!$C$2:$C$891,$A2,Actuals!$B$2:$B$891,"EU")*FX_EUR_USD</f>
        <v>7642983.8399999999</v>
      </c>
      <c r="E2" s="6">
        <f>SUMIFS(Budget!$F$2:$F$1300,Budget!$C$2:$C$1300,$A2,Budget!$A$2:$A$1300,"&lt;="&amp;DATE(2026,9,1))</f>
        <v>7755975</v>
      </c>
      <c r="F2" s="6">
        <f t="shared" ref="F2:F7" si="0">D2-E2</f>
        <v>-112991.16000000015</v>
      </c>
      <c r="G2" s="9">
        <f t="shared" ref="G2:G8" si="1">IFERROR(F2/E2,0)</f>
        <v>-1.4568272847707755E-2</v>
      </c>
      <c r="H2" t="str">
        <f t="shared" ref="H2:H7" si="2">IF(ABS(G2)&gt;0.05,"Review","")</f>
        <v/>
      </c>
      <c r="I2" t="s">
        <v>172</v>
      </c>
    </row>
    <row r="3" spans="1:9" x14ac:dyDescent="0.2">
      <c r="A3" t="s">
        <v>102</v>
      </c>
      <c r="B3" t="str">
        <f>VLOOKUP($A3,Departments!$A$2:$E$8,2,FALSE)</f>
        <v>Marketing</v>
      </c>
      <c r="C3" t="str">
        <f>VLOOKUP($A3,Departments!$A$2:$E$8,4,FALSE)</f>
        <v>Luis Ortega</v>
      </c>
      <c r="D3" s="6">
        <f>SUMIFS(Actuals!$F$2:$F$891,Actuals!$C$2:$C$891,$A3,Actuals!$B$2:$B$891,"US")+SUMIFS(Actuals!$F$2:$F$891,Actuals!$C$2:$C$891,$A3,Actuals!$B$2:$B$891,"EU")*FX_EUR_USD</f>
        <v>5754705.7599999998</v>
      </c>
      <c r="E3" s="6">
        <f>SUMIFS(Budget!$F$2:$F$1300,Budget!$C$2:$C$1300,$A3,Budget!$A$2:$A$1300,"&lt;="&amp;DATE(2026,9,1))</f>
        <v>5420844</v>
      </c>
      <c r="F3" s="6">
        <f t="shared" si="0"/>
        <v>333861.75999999978</v>
      </c>
      <c r="G3" s="9">
        <f t="shared" si="1"/>
        <v>6.1588520164018695E-2</v>
      </c>
      <c r="H3" t="str">
        <f t="shared" si="2"/>
        <v>Review</v>
      </c>
      <c r="I3" t="s">
        <v>173</v>
      </c>
    </row>
    <row r="4" spans="1:9" x14ac:dyDescent="0.2">
      <c r="A4" t="s">
        <v>106</v>
      </c>
      <c r="B4" t="str">
        <f>VLOOKUP($A4,Departments!$A$2:$E$8,2,FALSE)</f>
        <v>Customer Success</v>
      </c>
      <c r="C4" t="str">
        <f>VLOOKUP($A4,Departments!$A$2:$E$8,4,FALSE)</f>
        <v>Hannah Weiss</v>
      </c>
      <c r="D4" s="6">
        <f>SUMIFS(Actuals!$F$2:$F$891,Actuals!$C$2:$C$891,$A4,Actuals!$B$2:$B$891,"US")+SUMIFS(Actuals!$F$2:$F$891,Actuals!$C$2:$C$891,$A4,Actuals!$B$2:$B$891,"EU")*FX_EUR_USD</f>
        <v>3868600.4</v>
      </c>
      <c r="E4" s="6">
        <f>SUMIFS(Budget!$F$2:$F$1300,Budget!$C$2:$C$1300,$A4,Budget!$A$2:$A$1300,"&lt;="&amp;DATE(2026,9,1))</f>
        <v>4016985</v>
      </c>
      <c r="F4" s="6">
        <f t="shared" si="0"/>
        <v>-148384.60000000009</v>
      </c>
      <c r="G4" s="9">
        <f t="shared" si="1"/>
        <v>-3.6939296512185159E-2</v>
      </c>
      <c r="H4" t="str">
        <f t="shared" si="2"/>
        <v/>
      </c>
      <c r="I4" t="s">
        <v>174</v>
      </c>
    </row>
    <row r="5" spans="1:9" x14ac:dyDescent="0.2">
      <c r="A5" t="s">
        <v>110</v>
      </c>
      <c r="B5" t="str">
        <f>VLOOKUP($A5,Departments!$A$2:$E$8,2,FALSE)</f>
        <v>R&amp;D</v>
      </c>
      <c r="C5" t="str">
        <f>VLOOKUP($A5,Departments!$A$2:$E$8,4,FALSE)</f>
        <v>Wei Zhang</v>
      </c>
      <c r="D5" s="6">
        <f>SUMIFS(Actuals!$F$2:$F$891,Actuals!$C$2:$C$891,$A5,Actuals!$B$2:$B$891,"US")+SUMIFS(Actuals!$F$2:$F$891,Actuals!$C$2:$C$891,$A5,Actuals!$B$2:$B$891,"EU")*FX_EUR_USD</f>
        <v>16442874</v>
      </c>
      <c r="E5" s="6">
        <f>SUMIFS(Budget!$F$2:$F$1300,Budget!$C$2:$C$1300,$A5,Budget!$A$2:$A$1300,"&lt;="&amp;DATE(2026,9,1))</f>
        <v>17346700</v>
      </c>
      <c r="F5" s="6">
        <f t="shared" si="0"/>
        <v>-903826</v>
      </c>
      <c r="G5" s="9">
        <f t="shared" si="1"/>
        <v>-5.210362777934708E-2</v>
      </c>
      <c r="H5" t="str">
        <f t="shared" si="2"/>
        <v>Review</v>
      </c>
      <c r="I5" t="s">
        <v>175</v>
      </c>
    </row>
    <row r="6" spans="1:9" x14ac:dyDescent="0.2">
      <c r="A6" t="s">
        <v>114</v>
      </c>
      <c r="B6" t="str">
        <f>VLOOKUP($A6,Departments!$A$2:$E$8,2,FALSE)</f>
        <v>Product</v>
      </c>
      <c r="C6" t="str">
        <f>VLOOKUP($A6,Departments!$A$2:$E$8,4,FALSE)</f>
        <v>Aisha Bello</v>
      </c>
      <c r="D6" s="6">
        <f>SUMIFS(Actuals!$F$2:$F$891,Actuals!$C$2:$C$891,$A6,Actuals!$B$2:$B$891,"US")+SUMIFS(Actuals!$F$2:$F$891,Actuals!$C$2:$C$891,$A6,Actuals!$B$2:$B$891,"EU")*FX_EUR_USD</f>
        <v>2523892.96</v>
      </c>
      <c r="E6" s="6">
        <f>SUMIFS(Budget!$F$2:$F$1300,Budget!$C$2:$C$1300,$A6,Budget!$A$2:$A$1300,"&lt;="&amp;DATE(2026,9,1))</f>
        <v>2600490</v>
      </c>
      <c r="F6" s="6">
        <f t="shared" si="0"/>
        <v>-76597.040000000037</v>
      </c>
      <c r="G6" s="9">
        <f t="shared" si="1"/>
        <v>-2.9454848893862323E-2</v>
      </c>
      <c r="H6" t="str">
        <f t="shared" si="2"/>
        <v/>
      </c>
      <c r="I6" t="s">
        <v>176</v>
      </c>
    </row>
    <row r="7" spans="1:9" x14ac:dyDescent="0.2">
      <c r="A7" t="s">
        <v>118</v>
      </c>
      <c r="B7" t="str">
        <f>VLOOKUP($A7,Departments!$A$2:$E$8,2,FALSE)</f>
        <v>G&amp;A</v>
      </c>
      <c r="C7" t="str">
        <f>VLOOKUP($A7,Departments!$A$2:$E$8,4,FALSE)</f>
        <v>Tom Hadley</v>
      </c>
      <c r="D7" s="6">
        <f>SUMIFS(Actuals!$F$2:$F$891,Actuals!$C$2:$C$891,$A7,Actuals!$B$2:$B$891,"US")+SUMIFS(Actuals!$F$2:$F$891,Actuals!$C$2:$C$891,$A7,Actuals!$B$2:$B$891,"EU")*FX_EUR_USD</f>
        <v>6395888.7999999998</v>
      </c>
      <c r="E7" s="6">
        <f>SUMIFS(Budget!$F$2:$F$1300,Budget!$C$2:$C$1300,$A7,Budget!$A$2:$A$1300,"&lt;="&amp;DATE(2026,9,1))</f>
        <v>6588410</v>
      </c>
      <c r="F7" s="6">
        <f t="shared" si="0"/>
        <v>-192521.20000000019</v>
      </c>
      <c r="G7" s="9">
        <f t="shared" si="1"/>
        <v>-2.9221192973722065E-2</v>
      </c>
      <c r="H7" t="str">
        <f t="shared" si="2"/>
        <v/>
      </c>
      <c r="I7" t="s">
        <v>177</v>
      </c>
    </row>
    <row r="8" spans="1:9" x14ac:dyDescent="0.2">
      <c r="A8" s="1" t="s">
        <v>163</v>
      </c>
      <c r="D8" s="10">
        <f>SUM(D2:D7)</f>
        <v>42628945.759999998</v>
      </c>
      <c r="E8" s="10">
        <f>SUM(E2:E7)</f>
        <v>43729404</v>
      </c>
      <c r="F8" s="10">
        <f>SUM(F2:F7)</f>
        <v>-1100458.2400000007</v>
      </c>
      <c r="G8" s="11">
        <f t="shared" si="1"/>
        <v>-2.5165178103044823E-2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baseColWidth="10" defaultColWidth="8.83203125" defaultRowHeight="15" x14ac:dyDescent="0.2"/>
  <cols>
    <col min="1" max="1" width="10" customWidth="1"/>
    <col min="2" max="2" width="12" customWidth="1"/>
    <col min="3" max="3" width="18" customWidth="1"/>
    <col min="4" max="4" width="140" customWidth="1"/>
  </cols>
  <sheetData>
    <row r="1" spans="1:4" x14ac:dyDescent="0.2">
      <c r="A1" s="2" t="s">
        <v>126</v>
      </c>
      <c r="B1" s="2" t="s">
        <v>94</v>
      </c>
      <c r="C1" s="2" t="s">
        <v>178</v>
      </c>
      <c r="D1" s="2" t="s">
        <v>171</v>
      </c>
    </row>
    <row r="2" spans="1:4" x14ac:dyDescent="0.2">
      <c r="A2" s="14">
        <v>46266</v>
      </c>
      <c r="B2" t="s">
        <v>33</v>
      </c>
      <c r="C2" t="s">
        <v>179</v>
      </c>
      <c r="D2" t="s">
        <v>180</v>
      </c>
    </row>
    <row r="3" spans="1:4" x14ac:dyDescent="0.2">
      <c r="A3" s="14">
        <v>46266</v>
      </c>
      <c r="B3" t="s">
        <v>110</v>
      </c>
      <c r="C3" t="s">
        <v>112</v>
      </c>
      <c r="D3" t="s">
        <v>181</v>
      </c>
    </row>
    <row r="4" spans="1:4" x14ac:dyDescent="0.2">
      <c r="A4" s="14">
        <v>46266</v>
      </c>
      <c r="B4" t="s">
        <v>102</v>
      </c>
      <c r="C4" t="s">
        <v>105</v>
      </c>
      <c r="D4" t="s">
        <v>182</v>
      </c>
    </row>
    <row r="5" spans="1:4" x14ac:dyDescent="0.2">
      <c r="A5" s="14">
        <v>46235</v>
      </c>
      <c r="B5" t="s">
        <v>33</v>
      </c>
      <c r="C5" t="s">
        <v>179</v>
      </c>
      <c r="D5" t="s">
        <v>183</v>
      </c>
    </row>
    <row r="6" spans="1:4" x14ac:dyDescent="0.2">
      <c r="A6" s="14">
        <v>46235</v>
      </c>
      <c r="B6" t="s">
        <v>118</v>
      </c>
      <c r="C6" t="s">
        <v>121</v>
      </c>
      <c r="D6" t="s">
        <v>184</v>
      </c>
    </row>
    <row r="7" spans="1:4" x14ac:dyDescent="0.2">
      <c r="A7" s="14">
        <v>46204</v>
      </c>
      <c r="B7" t="s">
        <v>97</v>
      </c>
      <c r="C7" t="s">
        <v>100</v>
      </c>
      <c r="D7" t="s">
        <v>185</v>
      </c>
    </row>
    <row r="8" spans="1:4" x14ac:dyDescent="0.2">
      <c r="A8" s="14">
        <v>46204</v>
      </c>
      <c r="B8" t="s">
        <v>33</v>
      </c>
      <c r="C8" t="s">
        <v>179</v>
      </c>
      <c r="D8" t="s">
        <v>186</v>
      </c>
    </row>
    <row r="9" spans="1:4" x14ac:dyDescent="0.2">
      <c r="A9" s="14">
        <v>46174</v>
      </c>
      <c r="B9" t="s">
        <v>33</v>
      </c>
      <c r="C9" t="s">
        <v>179</v>
      </c>
      <c r="D9" t="s">
        <v>187</v>
      </c>
    </row>
    <row r="10" spans="1:4" x14ac:dyDescent="0.2">
      <c r="A10" s="14">
        <v>46174</v>
      </c>
      <c r="B10" t="s">
        <v>106</v>
      </c>
      <c r="C10" t="s">
        <v>109</v>
      </c>
      <c r="D10" t="s">
        <v>188</v>
      </c>
    </row>
    <row r="11" spans="1:4" x14ac:dyDescent="0.2">
      <c r="A11" s="14">
        <v>46143</v>
      </c>
      <c r="B11" t="s">
        <v>102</v>
      </c>
      <c r="C11" t="s">
        <v>105</v>
      </c>
      <c r="D11" t="s">
        <v>189</v>
      </c>
    </row>
    <row r="12" spans="1:4" x14ac:dyDescent="0.2">
      <c r="A12" s="14">
        <v>46113</v>
      </c>
      <c r="B12" t="s">
        <v>33</v>
      </c>
      <c r="C12" t="s">
        <v>179</v>
      </c>
      <c r="D12" t="s">
        <v>190</v>
      </c>
    </row>
    <row r="13" spans="1:4" x14ac:dyDescent="0.2">
      <c r="A13" s="14">
        <v>46082</v>
      </c>
      <c r="B13" t="s">
        <v>118</v>
      </c>
      <c r="C13" t="s">
        <v>121</v>
      </c>
      <c r="D13" t="s">
        <v>191</v>
      </c>
    </row>
    <row r="14" spans="1:4" x14ac:dyDescent="0.2">
      <c r="A14" s="14">
        <v>46054</v>
      </c>
      <c r="B14" t="s">
        <v>110</v>
      </c>
      <c r="C14" t="s">
        <v>112</v>
      </c>
      <c r="D14" t="s">
        <v>192</v>
      </c>
    </row>
    <row r="15" spans="1:4" x14ac:dyDescent="0.2">
      <c r="A15" s="14">
        <v>46023</v>
      </c>
      <c r="B15" t="s">
        <v>33</v>
      </c>
      <c r="C15" t="s">
        <v>179</v>
      </c>
      <c r="D15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Cover</vt:lpstr>
      <vt:lpstr>Assumptions</vt:lpstr>
      <vt:lpstr>COA</vt:lpstr>
      <vt:lpstr>Departments</vt:lpstr>
      <vt:lpstr>Actuals</vt:lpstr>
      <vt:lpstr>Budget</vt:lpstr>
      <vt:lpstr>BvA Summary</vt:lpstr>
      <vt:lpstr>Dept Variance</vt:lpstr>
      <vt:lpstr>Commentary</vt:lpstr>
      <vt:lpstr>BenefitsLoad</vt:lpstr>
      <vt:lpstr>BonusPct</vt:lpstr>
      <vt:lpstr>CommissionRate</vt:lpstr>
      <vt:lpstr>FX_EUR_USD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Tam</cp:lastModifiedBy>
  <dcterms:created xsi:type="dcterms:W3CDTF">2026-10-12T18:19:58Z</dcterms:created>
  <dcterms:modified xsi:type="dcterms:W3CDTF">2026-10-12T18:20:01Z</dcterms:modified>
</cp:coreProperties>
</file>