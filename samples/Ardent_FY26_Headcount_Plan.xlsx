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nuar/Library/Containers/com.microsoft.Excel/Data/tmp/finance_brain/"/>
    </mc:Choice>
  </mc:AlternateContent>
  <xr:revisionPtr revIDLastSave="0" documentId="11_5A7CE518D347028962E4525D5BF7736E2D07D717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oster" sheetId="1" r:id="rId1"/>
    <sheet name="Comp Bands" sheetId="2" r:id="rId2"/>
    <sheet name="Hiring Plan" sheetId="3" r:id="rId3"/>
    <sheet name="HC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" l="1"/>
  <c r="D18" i="4"/>
  <c r="F17" i="4"/>
  <c r="G17" i="4" s="1"/>
  <c r="I17" i="4" s="1"/>
  <c r="C17" i="4"/>
  <c r="F16" i="4"/>
  <c r="G16" i="4" s="1"/>
  <c r="I16" i="4" s="1"/>
  <c r="C16" i="4"/>
  <c r="F15" i="4"/>
  <c r="G15" i="4" s="1"/>
  <c r="I15" i="4" s="1"/>
  <c r="C15" i="4"/>
  <c r="F14" i="4"/>
  <c r="G14" i="4" s="1"/>
  <c r="I14" i="4" s="1"/>
  <c r="C14" i="4"/>
  <c r="F13" i="4"/>
  <c r="G13" i="4" s="1"/>
  <c r="I13" i="4" s="1"/>
  <c r="C13" i="4"/>
  <c r="G12" i="4"/>
  <c r="I12" i="4" s="1"/>
  <c r="F12" i="4"/>
  <c r="C12" i="4"/>
  <c r="F11" i="4"/>
  <c r="G11" i="4" s="1"/>
  <c r="I11" i="4" s="1"/>
  <c r="C11" i="4"/>
  <c r="F10" i="4"/>
  <c r="G10" i="4" s="1"/>
  <c r="I10" i="4" s="1"/>
  <c r="C10" i="4"/>
  <c r="F9" i="4"/>
  <c r="G9" i="4" s="1"/>
  <c r="I9" i="4" s="1"/>
  <c r="C9" i="4"/>
  <c r="F8" i="4"/>
  <c r="G8" i="4" s="1"/>
  <c r="I8" i="4" s="1"/>
  <c r="C8" i="4"/>
  <c r="F7" i="4"/>
  <c r="G7" i="4" s="1"/>
  <c r="I7" i="4" s="1"/>
  <c r="C7" i="4"/>
  <c r="F6" i="4"/>
  <c r="C6" i="4"/>
  <c r="F18" i="4" l="1"/>
  <c r="G6" i="4"/>
  <c r="C18" i="4"/>
  <c r="E6" i="4"/>
  <c r="B7" i="4" s="1"/>
  <c r="E7" i="4" s="1"/>
  <c r="B8" i="4" s="1"/>
  <c r="E8" i="4" s="1"/>
  <c r="B9" i="4" s="1"/>
  <c r="E9" i="4" s="1"/>
  <c r="B10" i="4" s="1"/>
  <c r="E10" i="4" s="1"/>
  <c r="B11" i="4" s="1"/>
  <c r="E11" i="4" s="1"/>
  <c r="B12" i="4" s="1"/>
  <c r="E12" i="4" s="1"/>
  <c r="B13" i="4" s="1"/>
  <c r="E13" i="4" s="1"/>
  <c r="B14" i="4" s="1"/>
  <c r="E14" i="4" s="1"/>
  <c r="B15" i="4" s="1"/>
  <c r="E15" i="4" s="1"/>
  <c r="B16" i="4" s="1"/>
  <c r="E16" i="4" s="1"/>
  <c r="B17" i="4" s="1"/>
  <c r="E17" i="4" s="1"/>
  <c r="I6" i="4" l="1"/>
  <c r="I18" i="4" s="1"/>
  <c r="G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People Ops</author>
  </authors>
  <commentList>
    <comment ref="H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EU employees are shown in USD at the budget FX rate for planning. Payroll pays EUR.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People Ops</author>
  </authors>
  <commentList>
    <comment ref="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Status values: Open, Offer out, Hired, Slipped to Q4, Cancelled. HC Summary counts only 'Hired' by planned start month.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People Ops</author>
  </authors>
  <commentList>
    <comment ref="B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Copied from Ardent_FY26_Budget_vs_Actuals.xlsx, Assumptions, Benefits load (B3) on 2026-07-14. Not linked; re-copy when Finance changes it.</t>
        </r>
      </text>
    </comment>
    <comment ref="B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People Ops guidance for the FY27 plan year, applied to Q4 early. Not approved by Finance (see BvA Commentary, Aug-26).</t>
        </r>
      </text>
    </comment>
    <comment ref="H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Budget loaded comp pasted from the FY26 budget model (People tab) on 2026-01-12.</t>
        </r>
      </text>
    </comment>
    <comment ref="B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Opening headcount per Dec-25 payroll register.</t>
        </r>
      </text>
    </comment>
  </commentList>
</comments>
</file>

<file path=xl/sharedStrings.xml><?xml version="1.0" encoding="utf-8"?>
<sst xmlns="http://schemas.openxmlformats.org/spreadsheetml/2006/main" count="1069" uniqueCount="364">
  <si>
    <t>Employee ID</t>
  </si>
  <si>
    <t>Name</t>
  </si>
  <si>
    <t>Department</t>
  </si>
  <si>
    <t>Title</t>
  </si>
  <si>
    <t>Level</t>
  </si>
  <si>
    <t>Location</t>
  </si>
  <si>
    <t>Start date</t>
  </si>
  <si>
    <t>Annual base (USD)</t>
  </si>
  <si>
    <t>FTE</t>
  </si>
  <si>
    <t>Status</t>
  </si>
  <si>
    <t>End date</t>
  </si>
  <si>
    <t>E1001</t>
  </si>
  <si>
    <t>Maya Novak</t>
  </si>
  <si>
    <t>RND</t>
  </si>
  <si>
    <t>Senior Software Engineer</t>
  </si>
  <si>
    <t>L5</t>
  </si>
  <si>
    <t>Lisbon, PT</t>
  </si>
  <si>
    <t>Active</t>
  </si>
  <si>
    <t>E1002</t>
  </si>
  <si>
    <t>Nora Varga</t>
  </si>
  <si>
    <t>Software Engineer</t>
  </si>
  <si>
    <t>L6</t>
  </si>
  <si>
    <t>E1003</t>
  </si>
  <si>
    <t>Zoe Mensah</t>
  </si>
  <si>
    <t>L4</t>
  </si>
  <si>
    <t>Remote US</t>
  </si>
  <si>
    <t>E1004</t>
  </si>
  <si>
    <t>Isla Novak</t>
  </si>
  <si>
    <t>Engineering Manager</t>
  </si>
  <si>
    <t>L1</t>
  </si>
  <si>
    <t>Berlin, DE</t>
  </si>
  <si>
    <t>E1005</t>
  </si>
  <si>
    <t>Noah Novak</t>
  </si>
  <si>
    <t>Data Engineer</t>
  </si>
  <si>
    <t>Denver, CO</t>
  </si>
  <si>
    <t>E1006</t>
  </si>
  <si>
    <t>Ivan Silva</t>
  </si>
  <si>
    <t>Terminated</t>
  </si>
  <si>
    <t>E1007</t>
  </si>
  <si>
    <t>Leila Ibrahim</t>
  </si>
  <si>
    <t>Austin, TX</t>
  </si>
  <si>
    <t>E1008</t>
  </si>
  <si>
    <t>Kai Moreau</t>
  </si>
  <si>
    <t>Staff Engineer</t>
  </si>
  <si>
    <t>E1009</t>
  </si>
  <si>
    <t>Nora Lindqvist</t>
  </si>
  <si>
    <t>E1010</t>
  </si>
  <si>
    <t>Isla Duarte</t>
  </si>
  <si>
    <t>L3</t>
  </si>
  <si>
    <t>E1011</t>
  </si>
  <si>
    <t>Arjun Haddad</t>
  </si>
  <si>
    <t>E1012</t>
  </si>
  <si>
    <t>Rosa Haddad</t>
  </si>
  <si>
    <t>E1013</t>
  </si>
  <si>
    <t>Sara Haddad</t>
  </si>
  <si>
    <t>E1014</t>
  </si>
  <si>
    <t>Arjun Okafor</t>
  </si>
  <si>
    <t>L2</t>
  </si>
  <si>
    <t>E1015</t>
  </si>
  <si>
    <t>Zoe Brennan</t>
  </si>
  <si>
    <t>E1016</t>
  </si>
  <si>
    <t>Chloe Tanaka</t>
  </si>
  <si>
    <t>E1017</t>
  </si>
  <si>
    <t>Isla Brennan</t>
  </si>
  <si>
    <t>E1018</t>
  </si>
  <si>
    <t>Noah Fischer</t>
  </si>
  <si>
    <t>E1019</t>
  </si>
  <si>
    <t>Yara Achebe</t>
  </si>
  <si>
    <t>E1020</t>
  </si>
  <si>
    <t>Sara Novak</t>
  </si>
  <si>
    <t>E1021</t>
  </si>
  <si>
    <t>Ravi Silva</t>
  </si>
  <si>
    <t>E1022</t>
  </si>
  <si>
    <t>Omar Jensen</t>
  </si>
  <si>
    <t>E1023</t>
  </si>
  <si>
    <t>Lucas Moreau</t>
  </si>
  <si>
    <t>E1024</t>
  </si>
  <si>
    <t>Leila Mensah</t>
  </si>
  <si>
    <t>E1025</t>
  </si>
  <si>
    <t>Mateo Rahman</t>
  </si>
  <si>
    <t>E1026</t>
  </si>
  <si>
    <t>Ines Petrova</t>
  </si>
  <si>
    <t>E1027</t>
  </si>
  <si>
    <t>Jonas Haddad</t>
  </si>
  <si>
    <t>E1028</t>
  </si>
  <si>
    <t>Kai Novak</t>
  </si>
  <si>
    <t>SRE</t>
  </si>
  <si>
    <t>E1029</t>
  </si>
  <si>
    <t>Mateo Duarte</t>
  </si>
  <si>
    <t>E1030</t>
  </si>
  <si>
    <t>Felix Rahman</t>
  </si>
  <si>
    <t>E1031</t>
  </si>
  <si>
    <t>Sara Mensah</t>
  </si>
  <si>
    <t>E1032</t>
  </si>
  <si>
    <t>Felix Ibrahim</t>
  </si>
  <si>
    <t>E1033</t>
  </si>
  <si>
    <t>Kai Duarte</t>
  </si>
  <si>
    <t>E1034</t>
  </si>
  <si>
    <t>Chloe Jensen</t>
  </si>
  <si>
    <t>E1035</t>
  </si>
  <si>
    <t>Mateo Silva</t>
  </si>
  <si>
    <t>E1036</t>
  </si>
  <si>
    <t>Chloe Kowalski</t>
  </si>
  <si>
    <t>E1037</t>
  </si>
  <si>
    <t>Lena Varga</t>
  </si>
  <si>
    <t>E1038</t>
  </si>
  <si>
    <t>Maya Castillo</t>
  </si>
  <si>
    <t>E1039</t>
  </si>
  <si>
    <t>Maya Achebe</t>
  </si>
  <si>
    <t>E1040</t>
  </si>
  <si>
    <t>Chloe Haddad</t>
  </si>
  <si>
    <t>E1041</t>
  </si>
  <si>
    <t>Sara Castillo</t>
  </si>
  <si>
    <t>E1042</t>
  </si>
  <si>
    <t>Elif Tanaka</t>
  </si>
  <si>
    <t>E1043</t>
  </si>
  <si>
    <t>Kai Nakamura</t>
  </si>
  <si>
    <t>E1044</t>
  </si>
  <si>
    <t>Mia Nakamura</t>
  </si>
  <si>
    <t>E1045</t>
  </si>
  <si>
    <t>Ines Varga</t>
  </si>
  <si>
    <t>E1046</t>
  </si>
  <si>
    <t>Mateo Nakamura</t>
  </si>
  <si>
    <t>SAL</t>
  </si>
  <si>
    <t>Account Executive</t>
  </si>
  <si>
    <t>E1047</t>
  </si>
  <si>
    <t>Mia Lindqvist</t>
  </si>
  <si>
    <t>Sales Engineer</t>
  </si>
  <si>
    <t>E1048</t>
  </si>
  <si>
    <t>Isla Petrova</t>
  </si>
  <si>
    <t>Sales Development Rep</t>
  </si>
  <si>
    <t>E1049</t>
  </si>
  <si>
    <t>Nora Kowalski</t>
  </si>
  <si>
    <t>Regional Sales Manager</t>
  </si>
  <si>
    <t>E1050</t>
  </si>
  <si>
    <t>Mia Haddad</t>
  </si>
  <si>
    <t>E1051</t>
  </si>
  <si>
    <t>Lucas Kowalski</t>
  </si>
  <si>
    <t>E1052</t>
  </si>
  <si>
    <t>Ravi Jensen</t>
  </si>
  <si>
    <t>E1053</t>
  </si>
  <si>
    <t>Kai Castillo</t>
  </si>
  <si>
    <t>E1054</t>
  </si>
  <si>
    <t>Liam Petrova</t>
  </si>
  <si>
    <t>E1055</t>
  </si>
  <si>
    <t>Ava Tanaka</t>
  </si>
  <si>
    <t>E1056</t>
  </si>
  <si>
    <t>Jonas Ibrahim</t>
  </si>
  <si>
    <t>E1057</t>
  </si>
  <si>
    <t>Ines Duarte</t>
  </si>
  <si>
    <t>E1058</t>
  </si>
  <si>
    <t>Rosa Lindqvist</t>
  </si>
  <si>
    <t>E1059</t>
  </si>
  <si>
    <t>Omar Castillo</t>
  </si>
  <si>
    <t>E1060</t>
  </si>
  <si>
    <t>Noah Haddad</t>
  </si>
  <si>
    <t>E1061</t>
  </si>
  <si>
    <t>Mia Silva</t>
  </si>
  <si>
    <t>E1062</t>
  </si>
  <si>
    <t>Arjun Nakamura</t>
  </si>
  <si>
    <t>E1063</t>
  </si>
  <si>
    <t>Noah Petrova</t>
  </si>
  <si>
    <t>E1064</t>
  </si>
  <si>
    <t>Ethan Petrova</t>
  </si>
  <si>
    <t>E1065</t>
  </si>
  <si>
    <t>Diego Jensen</t>
  </si>
  <si>
    <t>E1066</t>
  </si>
  <si>
    <t>Maya Okafor</t>
  </si>
  <si>
    <t>E1067</t>
  </si>
  <si>
    <t>Tariq Varga</t>
  </si>
  <si>
    <t>E1068</t>
  </si>
  <si>
    <t>Nora Rahman</t>
  </si>
  <si>
    <t>E1069</t>
  </si>
  <si>
    <t>Tariq Brennan</t>
  </si>
  <si>
    <t>E1070</t>
  </si>
  <si>
    <t>Ivan Varga</t>
  </si>
  <si>
    <t>E1071</t>
  </si>
  <si>
    <t>Isla Moreau</t>
  </si>
  <si>
    <t>CS</t>
  </si>
  <si>
    <t>Support Engineer</t>
  </si>
  <si>
    <t>E1072</t>
  </si>
  <si>
    <t>Chloe Nakamura</t>
  </si>
  <si>
    <t>Customer Success Manager</t>
  </si>
  <si>
    <t>E1073</t>
  </si>
  <si>
    <t>Ivan Lindqvist</t>
  </si>
  <si>
    <t>CS Team Lead</t>
  </si>
  <si>
    <t>E1074</t>
  </si>
  <si>
    <t>Leila Brennan</t>
  </si>
  <si>
    <t>E1075</t>
  </si>
  <si>
    <t>Theo Varga</t>
  </si>
  <si>
    <t>E1076</t>
  </si>
  <si>
    <t>Ava Brennan</t>
  </si>
  <si>
    <t>Onboarding Specialist</t>
  </si>
  <si>
    <t>E1077</t>
  </si>
  <si>
    <t>Jonas Varga</t>
  </si>
  <si>
    <t>E1078</t>
  </si>
  <si>
    <t>Ines Silva</t>
  </si>
  <si>
    <t>E1079</t>
  </si>
  <si>
    <t>Kai Tanaka</t>
  </si>
  <si>
    <t>E1080</t>
  </si>
  <si>
    <t>Leila Duarte</t>
  </si>
  <si>
    <t>E1081</t>
  </si>
  <si>
    <t>Tariq Achebe</t>
  </si>
  <si>
    <t>E1082</t>
  </si>
  <si>
    <t>Sara Silva</t>
  </si>
  <si>
    <t>E1083</t>
  </si>
  <si>
    <t>Hana Brennan</t>
  </si>
  <si>
    <t>E1084</t>
  </si>
  <si>
    <t>Isla Nakamura</t>
  </si>
  <si>
    <t>E1085</t>
  </si>
  <si>
    <t>Mia Tanaka</t>
  </si>
  <si>
    <t>E1086</t>
  </si>
  <si>
    <t>Elif Novak</t>
  </si>
  <si>
    <t>E1087</t>
  </si>
  <si>
    <t>Leila Fischer</t>
  </si>
  <si>
    <t>E1088</t>
  </si>
  <si>
    <t>Ines Okafor</t>
  </si>
  <si>
    <t>E1089</t>
  </si>
  <si>
    <t>Sara Ibrahim</t>
  </si>
  <si>
    <t>MKT</t>
  </si>
  <si>
    <t>Demand Gen Manager</t>
  </si>
  <si>
    <t>E1090</t>
  </si>
  <si>
    <t>Omar Varga</t>
  </si>
  <si>
    <t>Marketing Manager</t>
  </si>
  <si>
    <t>E1091</t>
  </si>
  <si>
    <t>Lucas Petrova</t>
  </si>
  <si>
    <t>E1092</t>
  </si>
  <si>
    <t>Arjun Castillo</t>
  </si>
  <si>
    <t>E1093</t>
  </si>
  <si>
    <t>Noah Tanaka</t>
  </si>
  <si>
    <t>E1094</t>
  </si>
  <si>
    <t>Noah Jensen</t>
  </si>
  <si>
    <t>E1095</t>
  </si>
  <si>
    <t>Ines Nakamura</t>
  </si>
  <si>
    <t>E1096</t>
  </si>
  <si>
    <t>Felix Tanaka</t>
  </si>
  <si>
    <t>E1097</t>
  </si>
  <si>
    <t>Ava Castillo</t>
  </si>
  <si>
    <t>Product Marketing Manager</t>
  </si>
  <si>
    <t>E1098</t>
  </si>
  <si>
    <t>Hana Novak</t>
  </si>
  <si>
    <t>E1099</t>
  </si>
  <si>
    <t>Ava Nakamura</t>
  </si>
  <si>
    <t>E1100</t>
  </si>
  <si>
    <t>Omar Tanaka</t>
  </si>
  <si>
    <t>E1101</t>
  </si>
  <si>
    <t>Ines Jensen</t>
  </si>
  <si>
    <t>PRD</t>
  </si>
  <si>
    <t>Product Manager</t>
  </si>
  <si>
    <t>E1102</t>
  </si>
  <si>
    <t>Jonas Okafor</t>
  </si>
  <si>
    <t>Senior Product Manager</t>
  </si>
  <si>
    <t>E1103</t>
  </si>
  <si>
    <t>Rosa Okafor</t>
  </si>
  <si>
    <t>Product Designer</t>
  </si>
  <si>
    <t>E1104</t>
  </si>
  <si>
    <t>Arjun Achebe</t>
  </si>
  <si>
    <t>E1105</t>
  </si>
  <si>
    <t>Zoe Silva</t>
  </si>
  <si>
    <t>E1106</t>
  </si>
  <si>
    <t>Liam Varga</t>
  </si>
  <si>
    <t>E1107</t>
  </si>
  <si>
    <t>Noah Okafor</t>
  </si>
  <si>
    <t>E1108</t>
  </si>
  <si>
    <t>Ravi Tanaka</t>
  </si>
  <si>
    <t>E1109</t>
  </si>
  <si>
    <t>Isla Silva</t>
  </si>
  <si>
    <t>GA</t>
  </si>
  <si>
    <t>Accountant</t>
  </si>
  <si>
    <t>E1110</t>
  </si>
  <si>
    <t>Ethan Kowalski</t>
  </si>
  <si>
    <t>Recruiter</t>
  </si>
  <si>
    <t>E1111</t>
  </si>
  <si>
    <t>Lena Tanaka</t>
  </si>
  <si>
    <t>IT Administrator</t>
  </si>
  <si>
    <t>E1112</t>
  </si>
  <si>
    <t>Yara Okafor</t>
  </si>
  <si>
    <t>Legal Counsel</t>
  </si>
  <si>
    <t>E1113</t>
  </si>
  <si>
    <t>Mateo Okafor</t>
  </si>
  <si>
    <t>E1114</t>
  </si>
  <si>
    <t>Leila Petrova</t>
  </si>
  <si>
    <t>E1115</t>
  </si>
  <si>
    <t>Ravi Haddad</t>
  </si>
  <si>
    <t>FP&amp;A Analyst</t>
  </si>
  <si>
    <t>E1116</t>
  </si>
  <si>
    <t>Elif Jensen</t>
  </si>
  <si>
    <t>E1117</t>
  </si>
  <si>
    <t>Isla Fischer</t>
  </si>
  <si>
    <t>E1118</t>
  </si>
  <si>
    <t>Chloe Ibrahim</t>
  </si>
  <si>
    <t>E1119</t>
  </si>
  <si>
    <t>Arjun Rahman</t>
  </si>
  <si>
    <t>E1120</t>
  </si>
  <si>
    <t>Maya Fischer</t>
  </si>
  <si>
    <t>Min</t>
  </si>
  <si>
    <t>Mid</t>
  </si>
  <si>
    <t>Max</t>
  </si>
  <si>
    <t>Bonus target %</t>
  </si>
  <si>
    <t>Bands effective 2026-01-01 (Radford Q4 FY25 refresh).</t>
  </si>
  <si>
    <t>Req ID</t>
  </si>
  <si>
    <t>Planned start</t>
  </si>
  <si>
    <t>Offer salary (USD)</t>
  </si>
  <si>
    <t>Hiring manager</t>
  </si>
  <si>
    <t>REQ-0401</t>
  </si>
  <si>
    <t>Cancelled</t>
  </si>
  <si>
    <t>Priya Natarajan</t>
  </si>
  <si>
    <t>REQ-0402</t>
  </si>
  <si>
    <t>Offer out</t>
  </si>
  <si>
    <t>REQ-0403</t>
  </si>
  <si>
    <t>Hired</t>
  </si>
  <si>
    <t>REQ-0404</t>
  </si>
  <si>
    <t>Open</t>
  </si>
  <si>
    <t>REQ-0405</t>
  </si>
  <si>
    <t>REQ-0406</t>
  </si>
  <si>
    <t>Content Lead</t>
  </si>
  <si>
    <t>Luis Ortega</t>
  </si>
  <si>
    <t>REQ-0407</t>
  </si>
  <si>
    <t>REQ-0408</t>
  </si>
  <si>
    <t>Hannah Weiss</t>
  </si>
  <si>
    <t>REQ-0409</t>
  </si>
  <si>
    <t>REQ-0410</t>
  </si>
  <si>
    <t>REQ-0412</t>
  </si>
  <si>
    <t>Slipped to Q4</t>
  </si>
  <si>
    <t>Wei Zhang</t>
  </si>
  <si>
    <t>REQ-0413</t>
  </si>
  <si>
    <t>REQ-0414</t>
  </si>
  <si>
    <t>REQ-0415</t>
  </si>
  <si>
    <t>REQ-0416</t>
  </si>
  <si>
    <t>REQ-0417</t>
  </si>
  <si>
    <t>REQ-0418</t>
  </si>
  <si>
    <t>REQ-0419</t>
  </si>
  <si>
    <t>REQ-0420</t>
  </si>
  <si>
    <t>REQ-0421</t>
  </si>
  <si>
    <t>REQ-0422</t>
  </si>
  <si>
    <t>REQ-0423</t>
  </si>
  <si>
    <t>REQ-0424</t>
  </si>
  <si>
    <t>REQ-0425</t>
  </si>
  <si>
    <t>Aisha Bello</t>
  </si>
  <si>
    <t>REQ-0426</t>
  </si>
  <si>
    <t>REQ-0427</t>
  </si>
  <si>
    <t>Tom Hadley</t>
  </si>
  <si>
    <t>REQ-0428</t>
  </si>
  <si>
    <t>People Ops Partner</t>
  </si>
  <si>
    <t>REQ-0429</t>
  </si>
  <si>
    <t>REQ-0430</t>
  </si>
  <si>
    <t>Ardent Labs, Inc.  FY2026 Headcount and loaded compensation</t>
  </si>
  <si>
    <t>Benefits load (Jan to Sep)</t>
  </si>
  <si>
    <t>Benefits load (Q4 forecast)</t>
  </si>
  <si>
    <t>Month</t>
  </si>
  <si>
    <t>Beginning HC</t>
  </si>
  <si>
    <t>Hires</t>
  </si>
  <si>
    <t>Attrition</t>
  </si>
  <si>
    <t>Ending HC</t>
  </si>
  <si>
    <t>Monthly base comp</t>
  </si>
  <si>
    <t>Loaded comp</t>
  </si>
  <si>
    <t>Budget loaded comp</t>
  </si>
  <si>
    <t>Variance</t>
  </si>
  <si>
    <t>Total</t>
  </si>
  <si>
    <t>Notes</t>
  </si>
  <si>
    <t>Beginning HC chains from the prior month's Ending HC.</t>
  </si>
  <si>
    <t>Hires counts Hiring Plan rows with status Hired by planned start month; actual start dates are in Workday, not here.</t>
  </si>
  <si>
    <t>Monthly base comp sums active roster base salaries with a start date on or before month end, divided by 12.</t>
  </si>
  <si>
    <t>Loaded comp applies the benefits load in B2 for Jan to Sep and B3 for Q4.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</si>
</sst>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;\(#,##0\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1" fillId="0" borderId="0" xfId="0" applyFont="1"/>
    <xf numFmtId="166" fontId="0" fillId="3" borderId="0" xfId="0" applyNumberFormat="1" applyFill="1"/>
    <xf numFmtId="17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1" fillId="4" borderId="0" xfId="0" applyFont="1" applyFill="1"/>
    <xf numFmtId="165" fontId="1" fillId="4" borderId="0" xfId="0" applyNumberFormat="1" applyFont="1" applyFill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12" customWidth="1"/>
    <col min="4" max="4" width="28" customWidth="1"/>
    <col min="5" max="5" width="7" customWidth="1"/>
    <col min="6" max="6" width="14" customWidth="1"/>
    <col min="7" max="7" width="12" customWidth="1"/>
    <col min="8" max="8" width="16" customWidth="1"/>
    <col min="9" max="9" width="6" customWidth="1"/>
    <col min="10" max="10" width="11" customWidth="1"/>
    <col min="11" max="11" width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46178</v>
      </c>
      <c r="H2" s="3">
        <v>293000</v>
      </c>
      <c r="I2">
        <v>1</v>
      </c>
      <c r="J2" t="s">
        <v>17</v>
      </c>
    </row>
    <row r="3" spans="1:11" x14ac:dyDescent="0.2">
      <c r="A3" t="s">
        <v>18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s="2">
        <v>44645</v>
      </c>
      <c r="H3" s="3">
        <v>287000</v>
      </c>
      <c r="I3">
        <v>1</v>
      </c>
      <c r="J3" t="s">
        <v>17</v>
      </c>
    </row>
    <row r="4" spans="1:11" x14ac:dyDescent="0.2">
      <c r="A4" t="s">
        <v>22</v>
      </c>
      <c r="B4" t="s">
        <v>23</v>
      </c>
      <c r="C4" t="s">
        <v>13</v>
      </c>
      <c r="D4" t="s">
        <v>20</v>
      </c>
      <c r="E4" t="s">
        <v>24</v>
      </c>
      <c r="F4" t="s">
        <v>25</v>
      </c>
      <c r="G4" s="2">
        <v>46002</v>
      </c>
      <c r="H4" s="3">
        <v>220000</v>
      </c>
      <c r="I4">
        <v>1</v>
      </c>
      <c r="J4" t="s">
        <v>17</v>
      </c>
    </row>
    <row r="5" spans="1:11" x14ac:dyDescent="0.2">
      <c r="A5" t="s">
        <v>26</v>
      </c>
      <c r="B5" t="s">
        <v>27</v>
      </c>
      <c r="C5" t="s">
        <v>13</v>
      </c>
      <c r="D5" t="s">
        <v>28</v>
      </c>
      <c r="E5" t="s">
        <v>29</v>
      </c>
      <c r="F5" t="s">
        <v>30</v>
      </c>
      <c r="G5" s="2">
        <v>45809</v>
      </c>
      <c r="H5" s="3">
        <v>116000</v>
      </c>
      <c r="I5">
        <v>0.8</v>
      </c>
      <c r="J5" t="s">
        <v>17</v>
      </c>
    </row>
    <row r="6" spans="1:11" x14ac:dyDescent="0.2">
      <c r="A6" t="s">
        <v>31</v>
      </c>
      <c r="B6" t="s">
        <v>32</v>
      </c>
      <c r="C6" t="s">
        <v>13</v>
      </c>
      <c r="D6" t="s">
        <v>33</v>
      </c>
      <c r="E6" t="s">
        <v>29</v>
      </c>
      <c r="F6" t="s">
        <v>34</v>
      </c>
      <c r="G6" s="2">
        <v>43765</v>
      </c>
      <c r="H6" s="3">
        <v>96000</v>
      </c>
      <c r="I6">
        <v>1</v>
      </c>
      <c r="J6" t="s">
        <v>17</v>
      </c>
    </row>
    <row r="7" spans="1:11" x14ac:dyDescent="0.2">
      <c r="A7" t="s">
        <v>35</v>
      </c>
      <c r="B7" t="s">
        <v>36</v>
      </c>
      <c r="C7" t="s">
        <v>13</v>
      </c>
      <c r="D7" t="s">
        <v>14</v>
      </c>
      <c r="E7" t="s">
        <v>21</v>
      </c>
      <c r="F7" t="s">
        <v>25</v>
      </c>
      <c r="G7" s="2">
        <v>44675</v>
      </c>
      <c r="H7" s="3">
        <v>325000</v>
      </c>
      <c r="I7">
        <v>1</v>
      </c>
      <c r="J7" t="s">
        <v>37</v>
      </c>
      <c r="K7" s="2">
        <v>46199</v>
      </c>
    </row>
    <row r="8" spans="1:11" x14ac:dyDescent="0.2">
      <c r="A8" t="s">
        <v>38</v>
      </c>
      <c r="B8" t="s">
        <v>39</v>
      </c>
      <c r="C8" t="s">
        <v>13</v>
      </c>
      <c r="D8" t="s">
        <v>33</v>
      </c>
      <c r="E8" t="s">
        <v>15</v>
      </c>
      <c r="F8" t="s">
        <v>40</v>
      </c>
      <c r="G8" s="2">
        <v>44775</v>
      </c>
      <c r="H8" s="3">
        <v>222000</v>
      </c>
      <c r="I8">
        <v>1</v>
      </c>
      <c r="J8" t="s">
        <v>17</v>
      </c>
    </row>
    <row r="9" spans="1:11" x14ac:dyDescent="0.2">
      <c r="A9" t="s">
        <v>41</v>
      </c>
      <c r="B9" t="s">
        <v>42</v>
      </c>
      <c r="C9" t="s">
        <v>13</v>
      </c>
      <c r="D9" t="s">
        <v>43</v>
      </c>
      <c r="E9" t="s">
        <v>24</v>
      </c>
      <c r="F9" t="s">
        <v>40</v>
      </c>
      <c r="G9" s="2">
        <v>43634</v>
      </c>
      <c r="H9" s="3">
        <v>222000</v>
      </c>
      <c r="I9">
        <v>1</v>
      </c>
      <c r="J9" t="s">
        <v>17</v>
      </c>
    </row>
    <row r="10" spans="1:11" x14ac:dyDescent="0.2">
      <c r="A10" t="s">
        <v>44</v>
      </c>
      <c r="B10" t="s">
        <v>45</v>
      </c>
      <c r="C10" t="s">
        <v>13</v>
      </c>
      <c r="D10" t="s">
        <v>14</v>
      </c>
      <c r="E10" t="s">
        <v>21</v>
      </c>
      <c r="F10" t="s">
        <v>25</v>
      </c>
      <c r="G10" s="2">
        <v>45252</v>
      </c>
      <c r="H10" s="3">
        <v>385000</v>
      </c>
      <c r="I10">
        <v>1</v>
      </c>
      <c r="J10" t="s">
        <v>17</v>
      </c>
    </row>
    <row r="11" spans="1:11" x14ac:dyDescent="0.2">
      <c r="A11" t="s">
        <v>46</v>
      </c>
      <c r="B11" t="s">
        <v>47</v>
      </c>
      <c r="C11" t="s">
        <v>13</v>
      </c>
      <c r="D11" t="s">
        <v>14</v>
      </c>
      <c r="E11" t="s">
        <v>48</v>
      </c>
      <c r="F11" t="s">
        <v>25</v>
      </c>
      <c r="G11" s="2">
        <v>44513</v>
      </c>
      <c r="H11" s="3">
        <v>200000</v>
      </c>
      <c r="I11">
        <v>1</v>
      </c>
      <c r="J11" t="s">
        <v>17</v>
      </c>
    </row>
    <row r="12" spans="1:11" x14ac:dyDescent="0.2">
      <c r="A12" t="s">
        <v>49</v>
      </c>
      <c r="B12" t="s">
        <v>50</v>
      </c>
      <c r="C12" t="s">
        <v>13</v>
      </c>
      <c r="D12" t="s">
        <v>20</v>
      </c>
      <c r="E12" t="s">
        <v>48</v>
      </c>
      <c r="F12" t="s">
        <v>34</v>
      </c>
      <c r="G12" s="2">
        <v>45760</v>
      </c>
      <c r="H12" s="3">
        <v>161000</v>
      </c>
      <c r="I12">
        <v>1</v>
      </c>
      <c r="J12" t="s">
        <v>17</v>
      </c>
    </row>
    <row r="13" spans="1:11" x14ac:dyDescent="0.2">
      <c r="A13" t="s">
        <v>51</v>
      </c>
      <c r="B13" t="s">
        <v>52</v>
      </c>
      <c r="C13" t="s">
        <v>13</v>
      </c>
      <c r="D13" t="s">
        <v>28</v>
      </c>
      <c r="E13" t="s">
        <v>48</v>
      </c>
      <c r="F13" t="s">
        <v>25</v>
      </c>
      <c r="G13" s="2">
        <v>44358</v>
      </c>
      <c r="H13" s="3">
        <v>194000</v>
      </c>
      <c r="I13">
        <v>1</v>
      </c>
      <c r="J13" t="s">
        <v>17</v>
      </c>
    </row>
    <row r="14" spans="1:11" x14ac:dyDescent="0.2">
      <c r="A14" t="s">
        <v>53</v>
      </c>
      <c r="B14" t="s">
        <v>54</v>
      </c>
      <c r="C14" t="s">
        <v>13</v>
      </c>
      <c r="D14" t="s">
        <v>14</v>
      </c>
      <c r="E14" t="s">
        <v>48</v>
      </c>
      <c r="F14" t="s">
        <v>40</v>
      </c>
      <c r="G14" s="2">
        <v>43638</v>
      </c>
      <c r="H14" s="3">
        <v>186000</v>
      </c>
      <c r="I14">
        <v>1</v>
      </c>
      <c r="J14" t="s">
        <v>17</v>
      </c>
    </row>
    <row r="15" spans="1:11" x14ac:dyDescent="0.2">
      <c r="A15" t="s">
        <v>55</v>
      </c>
      <c r="B15" t="s">
        <v>56</v>
      </c>
      <c r="C15" t="s">
        <v>13</v>
      </c>
      <c r="D15" t="s">
        <v>43</v>
      </c>
      <c r="E15" t="s">
        <v>57</v>
      </c>
      <c r="F15" t="s">
        <v>30</v>
      </c>
      <c r="G15" s="2">
        <v>45048</v>
      </c>
      <c r="H15" s="3">
        <v>138000</v>
      </c>
      <c r="I15">
        <v>1</v>
      </c>
      <c r="J15" t="s">
        <v>17</v>
      </c>
    </row>
    <row r="16" spans="1:11" x14ac:dyDescent="0.2">
      <c r="A16" t="s">
        <v>58</v>
      </c>
      <c r="B16" t="s">
        <v>59</v>
      </c>
      <c r="C16" t="s">
        <v>13</v>
      </c>
      <c r="D16" t="s">
        <v>20</v>
      </c>
      <c r="E16" t="s">
        <v>57</v>
      </c>
      <c r="F16" t="s">
        <v>25</v>
      </c>
      <c r="G16" s="2">
        <v>44569</v>
      </c>
      <c r="H16" s="3">
        <v>125000</v>
      </c>
      <c r="I16">
        <v>1</v>
      </c>
      <c r="J16" t="s">
        <v>17</v>
      </c>
    </row>
    <row r="17" spans="1:10" x14ac:dyDescent="0.2">
      <c r="A17" t="s">
        <v>60</v>
      </c>
      <c r="B17" t="s">
        <v>61</v>
      </c>
      <c r="C17" t="s">
        <v>13</v>
      </c>
      <c r="D17" t="s">
        <v>20</v>
      </c>
      <c r="E17" t="s">
        <v>24</v>
      </c>
      <c r="F17" t="s">
        <v>40</v>
      </c>
      <c r="G17" s="2">
        <v>45976</v>
      </c>
      <c r="H17" s="3">
        <v>204000</v>
      </c>
      <c r="I17">
        <v>1</v>
      </c>
      <c r="J17" t="s">
        <v>17</v>
      </c>
    </row>
    <row r="18" spans="1:10" x14ac:dyDescent="0.2">
      <c r="A18" t="s">
        <v>62</v>
      </c>
      <c r="B18" t="s">
        <v>63</v>
      </c>
      <c r="C18" t="s">
        <v>13</v>
      </c>
      <c r="D18" t="s">
        <v>14</v>
      </c>
      <c r="E18" t="s">
        <v>57</v>
      </c>
      <c r="F18" t="s">
        <v>30</v>
      </c>
      <c r="G18" s="2">
        <v>45775</v>
      </c>
      <c r="H18" s="3">
        <v>149000</v>
      </c>
      <c r="I18">
        <v>1</v>
      </c>
      <c r="J18" t="s">
        <v>17</v>
      </c>
    </row>
    <row r="19" spans="1:10" x14ac:dyDescent="0.2">
      <c r="A19" t="s">
        <v>64</v>
      </c>
      <c r="B19" t="s">
        <v>65</v>
      </c>
      <c r="C19" t="s">
        <v>13</v>
      </c>
      <c r="D19" t="s">
        <v>14</v>
      </c>
      <c r="E19" t="s">
        <v>57</v>
      </c>
      <c r="F19" t="s">
        <v>40</v>
      </c>
      <c r="G19" s="2">
        <v>44466</v>
      </c>
      <c r="H19" s="3">
        <v>125000</v>
      </c>
      <c r="I19">
        <v>1</v>
      </c>
      <c r="J19" t="s">
        <v>17</v>
      </c>
    </row>
    <row r="20" spans="1:10" x14ac:dyDescent="0.2">
      <c r="A20" t="s">
        <v>66</v>
      </c>
      <c r="B20" t="s">
        <v>67</v>
      </c>
      <c r="C20" t="s">
        <v>13</v>
      </c>
      <c r="D20" t="s">
        <v>14</v>
      </c>
      <c r="E20" t="s">
        <v>57</v>
      </c>
      <c r="F20" t="s">
        <v>25</v>
      </c>
      <c r="G20" s="2">
        <v>43829</v>
      </c>
      <c r="H20" s="3">
        <v>115000</v>
      </c>
      <c r="I20">
        <v>1</v>
      </c>
      <c r="J20" t="s">
        <v>17</v>
      </c>
    </row>
    <row r="21" spans="1:10" x14ac:dyDescent="0.2">
      <c r="A21" t="s">
        <v>68</v>
      </c>
      <c r="B21" t="s">
        <v>69</v>
      </c>
      <c r="C21" t="s">
        <v>13</v>
      </c>
      <c r="D21" t="s">
        <v>28</v>
      </c>
      <c r="E21" t="s">
        <v>57</v>
      </c>
      <c r="F21" t="s">
        <v>25</v>
      </c>
      <c r="G21" s="2">
        <v>45634</v>
      </c>
      <c r="H21" s="3">
        <v>110000</v>
      </c>
      <c r="I21">
        <v>1</v>
      </c>
      <c r="J21" t="s">
        <v>17</v>
      </c>
    </row>
    <row r="22" spans="1:10" x14ac:dyDescent="0.2">
      <c r="A22" t="s">
        <v>70</v>
      </c>
      <c r="B22" t="s">
        <v>71</v>
      </c>
      <c r="C22" t="s">
        <v>13</v>
      </c>
      <c r="D22" t="s">
        <v>14</v>
      </c>
      <c r="E22" t="s">
        <v>24</v>
      </c>
      <c r="F22" t="s">
        <v>40</v>
      </c>
      <c r="G22" s="2">
        <v>45685</v>
      </c>
      <c r="H22" s="3">
        <v>221000</v>
      </c>
      <c r="I22">
        <v>1</v>
      </c>
      <c r="J22" t="s">
        <v>17</v>
      </c>
    </row>
    <row r="23" spans="1:10" x14ac:dyDescent="0.2">
      <c r="A23" t="s">
        <v>72</v>
      </c>
      <c r="B23" t="s">
        <v>73</v>
      </c>
      <c r="C23" t="s">
        <v>13</v>
      </c>
      <c r="D23" t="s">
        <v>14</v>
      </c>
      <c r="E23" t="s">
        <v>48</v>
      </c>
      <c r="F23" t="s">
        <v>40</v>
      </c>
      <c r="G23" s="2">
        <v>45691</v>
      </c>
      <c r="H23" s="3">
        <v>182000</v>
      </c>
      <c r="I23">
        <v>1</v>
      </c>
      <c r="J23" t="s">
        <v>17</v>
      </c>
    </row>
    <row r="24" spans="1:10" x14ac:dyDescent="0.2">
      <c r="A24" t="s">
        <v>74</v>
      </c>
      <c r="B24" t="s">
        <v>75</v>
      </c>
      <c r="C24" t="s">
        <v>13</v>
      </c>
      <c r="D24" t="s">
        <v>43</v>
      </c>
      <c r="E24" t="s">
        <v>48</v>
      </c>
      <c r="F24" t="s">
        <v>16</v>
      </c>
      <c r="G24" s="2">
        <v>44385</v>
      </c>
      <c r="H24" s="3">
        <v>189000</v>
      </c>
      <c r="I24">
        <v>1</v>
      </c>
      <c r="J24" t="s">
        <v>17</v>
      </c>
    </row>
    <row r="25" spans="1:10" x14ac:dyDescent="0.2">
      <c r="A25" t="s">
        <v>76</v>
      </c>
      <c r="B25" t="s">
        <v>77</v>
      </c>
      <c r="C25" t="s">
        <v>13</v>
      </c>
      <c r="D25" t="s">
        <v>14</v>
      </c>
      <c r="E25" t="s">
        <v>48</v>
      </c>
      <c r="F25" t="s">
        <v>25</v>
      </c>
      <c r="G25" s="2">
        <v>44198</v>
      </c>
      <c r="H25" s="3">
        <v>174000</v>
      </c>
      <c r="I25">
        <v>1</v>
      </c>
      <c r="J25" t="s">
        <v>17</v>
      </c>
    </row>
    <row r="26" spans="1:10" x14ac:dyDescent="0.2">
      <c r="A26" t="s">
        <v>78</v>
      </c>
      <c r="B26" t="s">
        <v>79</v>
      </c>
      <c r="C26" t="s">
        <v>13</v>
      </c>
      <c r="D26" t="s">
        <v>28</v>
      </c>
      <c r="E26" t="s">
        <v>57</v>
      </c>
      <c r="F26" t="s">
        <v>40</v>
      </c>
      <c r="G26" s="2">
        <v>43866</v>
      </c>
      <c r="H26" s="3">
        <v>134000</v>
      </c>
      <c r="I26">
        <v>1</v>
      </c>
      <c r="J26" t="s">
        <v>17</v>
      </c>
    </row>
    <row r="27" spans="1:10" x14ac:dyDescent="0.2">
      <c r="A27" t="s">
        <v>80</v>
      </c>
      <c r="B27" t="s">
        <v>81</v>
      </c>
      <c r="C27" t="s">
        <v>13</v>
      </c>
      <c r="D27" t="s">
        <v>33</v>
      </c>
      <c r="E27" t="s">
        <v>57</v>
      </c>
      <c r="F27" t="s">
        <v>34</v>
      </c>
      <c r="G27" s="2">
        <v>44507</v>
      </c>
      <c r="H27" s="3">
        <v>141000</v>
      </c>
      <c r="I27">
        <v>1</v>
      </c>
      <c r="J27" t="s">
        <v>17</v>
      </c>
    </row>
    <row r="28" spans="1:10" x14ac:dyDescent="0.2">
      <c r="A28" t="s">
        <v>82</v>
      </c>
      <c r="B28" t="s">
        <v>83</v>
      </c>
      <c r="C28" t="s">
        <v>13</v>
      </c>
      <c r="D28" t="s">
        <v>14</v>
      </c>
      <c r="E28" t="s">
        <v>21</v>
      </c>
      <c r="F28" t="s">
        <v>16</v>
      </c>
      <c r="G28" s="2">
        <v>44068</v>
      </c>
      <c r="H28" s="3">
        <v>419000</v>
      </c>
      <c r="I28">
        <v>1</v>
      </c>
      <c r="J28" t="s">
        <v>17</v>
      </c>
    </row>
    <row r="29" spans="1:10" x14ac:dyDescent="0.2">
      <c r="A29" t="s">
        <v>84</v>
      </c>
      <c r="B29" t="s">
        <v>85</v>
      </c>
      <c r="C29" t="s">
        <v>13</v>
      </c>
      <c r="D29" t="s">
        <v>86</v>
      </c>
      <c r="E29" t="s">
        <v>15</v>
      </c>
      <c r="F29" t="s">
        <v>40</v>
      </c>
      <c r="G29" s="2">
        <v>43628</v>
      </c>
      <c r="H29" s="3">
        <v>231000</v>
      </c>
      <c r="I29">
        <v>1</v>
      </c>
      <c r="J29" t="s">
        <v>17</v>
      </c>
    </row>
    <row r="30" spans="1:10" x14ac:dyDescent="0.2">
      <c r="A30" t="s">
        <v>87</v>
      </c>
      <c r="B30" t="s">
        <v>88</v>
      </c>
      <c r="C30" t="s">
        <v>13</v>
      </c>
      <c r="D30" t="s">
        <v>33</v>
      </c>
      <c r="E30" t="s">
        <v>48</v>
      </c>
      <c r="F30" t="s">
        <v>25</v>
      </c>
      <c r="G30" s="2">
        <v>44040</v>
      </c>
      <c r="H30" s="3">
        <v>159000</v>
      </c>
      <c r="I30">
        <v>1</v>
      </c>
      <c r="J30" t="s">
        <v>17</v>
      </c>
    </row>
    <row r="31" spans="1:10" x14ac:dyDescent="0.2">
      <c r="A31" t="s">
        <v>89</v>
      </c>
      <c r="B31" t="s">
        <v>90</v>
      </c>
      <c r="C31" t="s">
        <v>13</v>
      </c>
      <c r="D31" t="s">
        <v>20</v>
      </c>
      <c r="E31" t="s">
        <v>57</v>
      </c>
      <c r="F31" t="s">
        <v>30</v>
      </c>
      <c r="G31" s="2">
        <v>44731</v>
      </c>
      <c r="H31" s="3">
        <v>124000</v>
      </c>
      <c r="I31">
        <v>1</v>
      </c>
      <c r="J31" t="s">
        <v>17</v>
      </c>
    </row>
    <row r="32" spans="1:10" x14ac:dyDescent="0.2">
      <c r="A32" t="s">
        <v>91</v>
      </c>
      <c r="B32" t="s">
        <v>92</v>
      </c>
      <c r="C32" t="s">
        <v>13</v>
      </c>
      <c r="D32" t="s">
        <v>14</v>
      </c>
      <c r="E32" t="s">
        <v>29</v>
      </c>
      <c r="F32" t="s">
        <v>25</v>
      </c>
      <c r="G32" s="2">
        <v>43924</v>
      </c>
      <c r="H32" s="3">
        <v>98000</v>
      </c>
      <c r="I32">
        <v>1</v>
      </c>
      <c r="J32" t="s">
        <v>17</v>
      </c>
    </row>
    <row r="33" spans="1:11" x14ac:dyDescent="0.2">
      <c r="A33" t="s">
        <v>93</v>
      </c>
      <c r="B33" t="s">
        <v>94</v>
      </c>
      <c r="C33" t="s">
        <v>13</v>
      </c>
      <c r="D33" t="s">
        <v>33</v>
      </c>
      <c r="E33" t="s">
        <v>48</v>
      </c>
      <c r="F33" t="s">
        <v>30</v>
      </c>
      <c r="G33" s="2">
        <v>46081</v>
      </c>
      <c r="H33" s="3">
        <v>155000</v>
      </c>
      <c r="I33">
        <v>1</v>
      </c>
      <c r="J33" t="s">
        <v>17</v>
      </c>
    </row>
    <row r="34" spans="1:11" x14ac:dyDescent="0.2">
      <c r="A34" t="s">
        <v>95</v>
      </c>
      <c r="B34" t="s">
        <v>96</v>
      </c>
      <c r="C34" t="s">
        <v>13</v>
      </c>
      <c r="D34" t="s">
        <v>33</v>
      </c>
      <c r="E34" t="s">
        <v>48</v>
      </c>
      <c r="F34" t="s">
        <v>40</v>
      </c>
      <c r="G34" s="2">
        <v>45418</v>
      </c>
      <c r="H34" s="3">
        <v>178000</v>
      </c>
      <c r="I34">
        <v>1</v>
      </c>
      <c r="J34" t="s">
        <v>37</v>
      </c>
      <c r="K34" s="2">
        <v>46065</v>
      </c>
    </row>
    <row r="35" spans="1:11" x14ac:dyDescent="0.2">
      <c r="A35" t="s">
        <v>97</v>
      </c>
      <c r="B35" t="s">
        <v>98</v>
      </c>
      <c r="C35" t="s">
        <v>13</v>
      </c>
      <c r="D35" t="s">
        <v>43</v>
      </c>
      <c r="E35" t="s">
        <v>24</v>
      </c>
      <c r="F35" t="s">
        <v>16</v>
      </c>
      <c r="G35" s="2">
        <v>45368</v>
      </c>
      <c r="H35" s="3">
        <v>187000</v>
      </c>
      <c r="I35">
        <v>1</v>
      </c>
      <c r="J35" t="s">
        <v>17</v>
      </c>
    </row>
    <row r="36" spans="1:11" x14ac:dyDescent="0.2">
      <c r="A36" t="s">
        <v>99</v>
      </c>
      <c r="B36" t="s">
        <v>100</v>
      </c>
      <c r="C36" t="s">
        <v>13</v>
      </c>
      <c r="D36" t="s">
        <v>33</v>
      </c>
      <c r="E36" t="s">
        <v>15</v>
      </c>
      <c r="F36" t="s">
        <v>40</v>
      </c>
      <c r="G36" s="2">
        <v>45531</v>
      </c>
      <c r="H36" s="3">
        <v>258000</v>
      </c>
      <c r="I36">
        <v>1</v>
      </c>
      <c r="J36" t="s">
        <v>17</v>
      </c>
    </row>
    <row r="37" spans="1:11" x14ac:dyDescent="0.2">
      <c r="A37" t="s">
        <v>101</v>
      </c>
      <c r="B37" t="s">
        <v>102</v>
      </c>
      <c r="C37" t="s">
        <v>13</v>
      </c>
      <c r="D37" t="s">
        <v>20</v>
      </c>
      <c r="E37" t="s">
        <v>48</v>
      </c>
      <c r="F37" t="s">
        <v>40</v>
      </c>
      <c r="G37" s="2">
        <v>45590</v>
      </c>
      <c r="H37" s="3">
        <v>148000</v>
      </c>
      <c r="I37">
        <v>1</v>
      </c>
      <c r="J37" t="s">
        <v>17</v>
      </c>
    </row>
    <row r="38" spans="1:11" x14ac:dyDescent="0.2">
      <c r="A38" t="s">
        <v>103</v>
      </c>
      <c r="B38" t="s">
        <v>104</v>
      </c>
      <c r="C38" t="s">
        <v>13</v>
      </c>
      <c r="D38" t="s">
        <v>33</v>
      </c>
      <c r="E38" t="s">
        <v>48</v>
      </c>
      <c r="F38" t="s">
        <v>34</v>
      </c>
      <c r="G38" s="2">
        <v>44098</v>
      </c>
      <c r="H38" s="3">
        <v>163000</v>
      </c>
      <c r="I38">
        <v>1</v>
      </c>
      <c r="J38" t="s">
        <v>17</v>
      </c>
    </row>
    <row r="39" spans="1:11" x14ac:dyDescent="0.2">
      <c r="A39" t="s">
        <v>105</v>
      </c>
      <c r="B39" t="s">
        <v>106</v>
      </c>
      <c r="C39" t="s">
        <v>13</v>
      </c>
      <c r="D39" t="s">
        <v>33</v>
      </c>
      <c r="E39" t="s">
        <v>15</v>
      </c>
      <c r="F39" t="s">
        <v>34</v>
      </c>
      <c r="G39" s="2">
        <v>44832</v>
      </c>
      <c r="H39" s="3">
        <v>236000</v>
      </c>
      <c r="I39">
        <v>1</v>
      </c>
      <c r="J39" t="s">
        <v>17</v>
      </c>
    </row>
    <row r="40" spans="1:11" x14ac:dyDescent="0.2">
      <c r="A40" t="s">
        <v>107</v>
      </c>
      <c r="B40" t="s">
        <v>108</v>
      </c>
      <c r="C40" t="s">
        <v>13</v>
      </c>
      <c r="D40" t="s">
        <v>14</v>
      </c>
      <c r="E40" t="s">
        <v>48</v>
      </c>
      <c r="F40" t="s">
        <v>34</v>
      </c>
      <c r="G40" s="2">
        <v>46047</v>
      </c>
      <c r="H40" s="3">
        <v>192000</v>
      </c>
      <c r="I40">
        <v>1</v>
      </c>
      <c r="J40" t="s">
        <v>17</v>
      </c>
    </row>
    <row r="41" spans="1:11" x14ac:dyDescent="0.2">
      <c r="A41" t="s">
        <v>109</v>
      </c>
      <c r="B41" t="s">
        <v>110</v>
      </c>
      <c r="C41" t="s">
        <v>13</v>
      </c>
      <c r="D41" t="s">
        <v>20</v>
      </c>
      <c r="E41" t="s">
        <v>15</v>
      </c>
      <c r="F41" t="s">
        <v>16</v>
      </c>
      <c r="G41" s="2">
        <v>44845</v>
      </c>
      <c r="H41" s="3">
        <v>266000</v>
      </c>
      <c r="I41">
        <v>1</v>
      </c>
      <c r="J41" t="s">
        <v>17</v>
      </c>
    </row>
    <row r="42" spans="1:11" x14ac:dyDescent="0.2">
      <c r="A42" t="s">
        <v>111</v>
      </c>
      <c r="B42" t="s">
        <v>112</v>
      </c>
      <c r="C42" t="s">
        <v>13</v>
      </c>
      <c r="D42" t="s">
        <v>33</v>
      </c>
      <c r="E42" t="s">
        <v>57</v>
      </c>
      <c r="F42" t="s">
        <v>40</v>
      </c>
      <c r="G42" s="2">
        <v>45936</v>
      </c>
      <c r="H42" s="3">
        <v>152000</v>
      </c>
      <c r="I42">
        <v>1</v>
      </c>
      <c r="J42" t="s">
        <v>17</v>
      </c>
    </row>
    <row r="43" spans="1:11" x14ac:dyDescent="0.2">
      <c r="A43" t="s">
        <v>113</v>
      </c>
      <c r="B43" t="s">
        <v>114</v>
      </c>
      <c r="C43" t="s">
        <v>13</v>
      </c>
      <c r="D43" t="s">
        <v>43</v>
      </c>
      <c r="E43" t="s">
        <v>24</v>
      </c>
      <c r="F43" t="s">
        <v>40</v>
      </c>
      <c r="G43" s="2">
        <v>44505</v>
      </c>
      <c r="H43" s="3">
        <v>232000</v>
      </c>
      <c r="I43">
        <v>1</v>
      </c>
      <c r="J43" t="s">
        <v>17</v>
      </c>
    </row>
    <row r="44" spans="1:11" x14ac:dyDescent="0.2">
      <c r="A44" t="s">
        <v>115</v>
      </c>
      <c r="B44" t="s">
        <v>116</v>
      </c>
      <c r="C44" t="s">
        <v>13</v>
      </c>
      <c r="D44" t="s">
        <v>20</v>
      </c>
      <c r="E44" t="s">
        <v>24</v>
      </c>
      <c r="F44" t="s">
        <v>30</v>
      </c>
      <c r="G44" s="2">
        <v>45949</v>
      </c>
      <c r="H44" s="3">
        <v>246000</v>
      </c>
      <c r="I44">
        <v>1</v>
      </c>
      <c r="J44" t="s">
        <v>17</v>
      </c>
    </row>
    <row r="45" spans="1:11" x14ac:dyDescent="0.2">
      <c r="A45" t="s">
        <v>117</v>
      </c>
      <c r="B45" t="s">
        <v>118</v>
      </c>
      <c r="C45" t="s">
        <v>13</v>
      </c>
      <c r="D45" t="s">
        <v>14</v>
      </c>
      <c r="E45" t="s">
        <v>48</v>
      </c>
      <c r="F45" t="s">
        <v>40</v>
      </c>
      <c r="G45" s="2">
        <v>46088</v>
      </c>
      <c r="H45" s="3">
        <v>198000</v>
      </c>
      <c r="I45">
        <v>1</v>
      </c>
      <c r="J45" t="s">
        <v>17</v>
      </c>
    </row>
    <row r="46" spans="1:11" x14ac:dyDescent="0.2">
      <c r="A46" t="s">
        <v>119</v>
      </c>
      <c r="B46" t="s">
        <v>120</v>
      </c>
      <c r="C46" t="s">
        <v>13</v>
      </c>
      <c r="D46" t="s">
        <v>33</v>
      </c>
      <c r="E46" t="s">
        <v>24</v>
      </c>
      <c r="F46" t="s">
        <v>34</v>
      </c>
      <c r="G46" s="2">
        <v>44982</v>
      </c>
      <c r="H46" s="3">
        <v>179000</v>
      </c>
      <c r="I46">
        <v>1</v>
      </c>
      <c r="J46" t="s">
        <v>17</v>
      </c>
    </row>
    <row r="47" spans="1:11" x14ac:dyDescent="0.2">
      <c r="A47" t="s">
        <v>121</v>
      </c>
      <c r="B47" t="s">
        <v>122</v>
      </c>
      <c r="C47" t="s">
        <v>123</v>
      </c>
      <c r="D47" t="s">
        <v>124</v>
      </c>
      <c r="E47" t="s">
        <v>57</v>
      </c>
      <c r="F47" t="s">
        <v>16</v>
      </c>
      <c r="G47" s="2">
        <v>44190</v>
      </c>
      <c r="H47" s="3">
        <v>132000</v>
      </c>
      <c r="I47">
        <v>1</v>
      </c>
      <c r="J47" t="s">
        <v>17</v>
      </c>
    </row>
    <row r="48" spans="1:11" x14ac:dyDescent="0.2">
      <c r="A48" t="s">
        <v>125</v>
      </c>
      <c r="B48" t="s">
        <v>126</v>
      </c>
      <c r="C48" t="s">
        <v>123</v>
      </c>
      <c r="D48" t="s">
        <v>127</v>
      </c>
      <c r="E48" t="s">
        <v>48</v>
      </c>
      <c r="F48" t="s">
        <v>16</v>
      </c>
      <c r="G48" s="2">
        <v>44559</v>
      </c>
      <c r="H48" s="3">
        <v>143000</v>
      </c>
      <c r="I48">
        <v>1</v>
      </c>
      <c r="J48" t="s">
        <v>17</v>
      </c>
    </row>
    <row r="49" spans="1:11" x14ac:dyDescent="0.2">
      <c r="A49" t="s">
        <v>128</v>
      </c>
      <c r="B49" t="s">
        <v>129</v>
      </c>
      <c r="C49" t="s">
        <v>123</v>
      </c>
      <c r="D49" t="s">
        <v>130</v>
      </c>
      <c r="E49" t="s">
        <v>24</v>
      </c>
      <c r="F49" t="s">
        <v>25</v>
      </c>
      <c r="G49" s="2">
        <v>43647</v>
      </c>
      <c r="H49" s="3">
        <v>192000</v>
      </c>
      <c r="I49">
        <v>1</v>
      </c>
      <c r="J49" t="s">
        <v>17</v>
      </c>
    </row>
    <row r="50" spans="1:11" x14ac:dyDescent="0.2">
      <c r="A50" t="s">
        <v>131</v>
      </c>
      <c r="B50" t="s">
        <v>132</v>
      </c>
      <c r="C50" t="s">
        <v>123</v>
      </c>
      <c r="D50" t="s">
        <v>133</v>
      </c>
      <c r="E50" t="s">
        <v>57</v>
      </c>
      <c r="F50" t="s">
        <v>30</v>
      </c>
      <c r="G50" s="2">
        <v>45650</v>
      </c>
      <c r="H50" s="3">
        <v>137000</v>
      </c>
      <c r="I50">
        <v>1</v>
      </c>
      <c r="J50" t="s">
        <v>37</v>
      </c>
      <c r="K50" s="2">
        <v>46266</v>
      </c>
    </row>
    <row r="51" spans="1:11" x14ac:dyDescent="0.2">
      <c r="A51" t="s">
        <v>134</v>
      </c>
      <c r="B51" t="s">
        <v>135</v>
      </c>
      <c r="C51" t="s">
        <v>123</v>
      </c>
      <c r="D51" t="s">
        <v>133</v>
      </c>
      <c r="E51" t="s">
        <v>48</v>
      </c>
      <c r="F51" t="s">
        <v>40</v>
      </c>
      <c r="G51" s="2">
        <v>45528</v>
      </c>
      <c r="H51" s="3">
        <v>149000</v>
      </c>
      <c r="I51">
        <v>1</v>
      </c>
      <c r="J51" t="s">
        <v>17</v>
      </c>
    </row>
    <row r="52" spans="1:11" x14ac:dyDescent="0.2">
      <c r="A52" t="s">
        <v>136</v>
      </c>
      <c r="B52" t="s">
        <v>137</v>
      </c>
      <c r="C52" t="s">
        <v>123</v>
      </c>
      <c r="D52" t="s">
        <v>124</v>
      </c>
      <c r="E52" t="s">
        <v>57</v>
      </c>
      <c r="F52" t="s">
        <v>30</v>
      </c>
      <c r="G52" s="2">
        <v>45635</v>
      </c>
      <c r="H52" s="3">
        <v>123000</v>
      </c>
      <c r="I52">
        <v>1</v>
      </c>
      <c r="J52" t="s">
        <v>17</v>
      </c>
    </row>
    <row r="53" spans="1:11" x14ac:dyDescent="0.2">
      <c r="A53" t="s">
        <v>138</v>
      </c>
      <c r="B53" t="s">
        <v>139</v>
      </c>
      <c r="C53" t="s">
        <v>123</v>
      </c>
      <c r="D53" t="s">
        <v>130</v>
      </c>
      <c r="E53" t="s">
        <v>21</v>
      </c>
      <c r="F53" t="s">
        <v>30</v>
      </c>
      <c r="G53" s="2">
        <v>44615</v>
      </c>
      <c r="H53" s="3">
        <v>400000</v>
      </c>
      <c r="I53">
        <v>0.8</v>
      </c>
      <c r="J53" t="s">
        <v>17</v>
      </c>
    </row>
    <row r="54" spans="1:11" x14ac:dyDescent="0.2">
      <c r="A54" t="s">
        <v>140</v>
      </c>
      <c r="B54" t="s">
        <v>141</v>
      </c>
      <c r="C54" t="s">
        <v>123</v>
      </c>
      <c r="D54" t="s">
        <v>133</v>
      </c>
      <c r="E54" t="s">
        <v>15</v>
      </c>
      <c r="F54" t="s">
        <v>40</v>
      </c>
      <c r="G54" s="2">
        <v>44092</v>
      </c>
      <c r="H54" s="3">
        <v>227000</v>
      </c>
      <c r="I54">
        <v>1</v>
      </c>
      <c r="J54" t="s">
        <v>17</v>
      </c>
    </row>
    <row r="55" spans="1:11" x14ac:dyDescent="0.2">
      <c r="A55" t="s">
        <v>142</v>
      </c>
      <c r="B55" t="s">
        <v>143</v>
      </c>
      <c r="C55" t="s">
        <v>123</v>
      </c>
      <c r="D55" t="s">
        <v>124</v>
      </c>
      <c r="E55" t="s">
        <v>29</v>
      </c>
      <c r="F55" t="s">
        <v>40</v>
      </c>
      <c r="G55" s="2">
        <v>45466</v>
      </c>
      <c r="H55" s="3">
        <v>112000</v>
      </c>
      <c r="I55">
        <v>1</v>
      </c>
      <c r="J55" t="s">
        <v>37</v>
      </c>
      <c r="K55" s="2">
        <v>46197</v>
      </c>
    </row>
    <row r="56" spans="1:11" x14ac:dyDescent="0.2">
      <c r="A56" t="s">
        <v>144</v>
      </c>
      <c r="B56" t="s">
        <v>145</v>
      </c>
      <c r="C56" t="s">
        <v>123</v>
      </c>
      <c r="D56" t="s">
        <v>133</v>
      </c>
      <c r="E56" t="s">
        <v>24</v>
      </c>
      <c r="F56" t="s">
        <v>25</v>
      </c>
      <c r="G56" s="2">
        <v>46050</v>
      </c>
      <c r="H56" s="3">
        <v>222000</v>
      </c>
      <c r="I56">
        <v>1</v>
      </c>
      <c r="J56" t="s">
        <v>17</v>
      </c>
    </row>
    <row r="57" spans="1:11" x14ac:dyDescent="0.2">
      <c r="A57" t="s">
        <v>146</v>
      </c>
      <c r="B57" t="s">
        <v>147</v>
      </c>
      <c r="C57" t="s">
        <v>123</v>
      </c>
      <c r="D57" t="s">
        <v>124</v>
      </c>
      <c r="E57" t="s">
        <v>57</v>
      </c>
      <c r="F57" t="s">
        <v>34</v>
      </c>
      <c r="G57" s="2">
        <v>45316</v>
      </c>
      <c r="H57" s="3">
        <v>130000</v>
      </c>
      <c r="I57">
        <v>1</v>
      </c>
      <c r="J57" t="s">
        <v>17</v>
      </c>
    </row>
    <row r="58" spans="1:11" x14ac:dyDescent="0.2">
      <c r="A58" t="s">
        <v>148</v>
      </c>
      <c r="B58" t="s">
        <v>149</v>
      </c>
      <c r="C58" t="s">
        <v>123</v>
      </c>
      <c r="D58" t="s">
        <v>127</v>
      </c>
      <c r="E58" t="s">
        <v>24</v>
      </c>
      <c r="F58" t="s">
        <v>34</v>
      </c>
      <c r="G58" s="2">
        <v>45720</v>
      </c>
      <c r="H58" s="3">
        <v>233000</v>
      </c>
      <c r="I58">
        <v>1</v>
      </c>
      <c r="J58" t="s">
        <v>17</v>
      </c>
    </row>
    <row r="59" spans="1:11" x14ac:dyDescent="0.2">
      <c r="A59" t="s">
        <v>150</v>
      </c>
      <c r="B59" t="s">
        <v>151</v>
      </c>
      <c r="C59" t="s">
        <v>123</v>
      </c>
      <c r="D59" t="s">
        <v>133</v>
      </c>
      <c r="E59" t="s">
        <v>21</v>
      </c>
      <c r="F59" t="s">
        <v>30</v>
      </c>
      <c r="G59" s="2">
        <v>45940</v>
      </c>
      <c r="H59" s="3">
        <v>368000</v>
      </c>
      <c r="I59">
        <v>0.8</v>
      </c>
      <c r="J59" t="s">
        <v>17</v>
      </c>
    </row>
    <row r="60" spans="1:11" x14ac:dyDescent="0.2">
      <c r="A60" t="s">
        <v>152</v>
      </c>
      <c r="B60" t="s">
        <v>153</v>
      </c>
      <c r="C60" t="s">
        <v>123</v>
      </c>
      <c r="D60" t="s">
        <v>127</v>
      </c>
      <c r="E60" t="s">
        <v>48</v>
      </c>
      <c r="F60" t="s">
        <v>30</v>
      </c>
      <c r="G60" s="2">
        <v>45759</v>
      </c>
      <c r="H60" s="3">
        <v>175000</v>
      </c>
      <c r="I60">
        <v>1</v>
      </c>
      <c r="J60" t="s">
        <v>17</v>
      </c>
    </row>
    <row r="61" spans="1:11" x14ac:dyDescent="0.2">
      <c r="A61" t="s">
        <v>154</v>
      </c>
      <c r="B61" t="s">
        <v>155</v>
      </c>
      <c r="C61" t="s">
        <v>123</v>
      </c>
      <c r="D61" t="s">
        <v>127</v>
      </c>
      <c r="E61" t="s">
        <v>29</v>
      </c>
      <c r="F61" t="s">
        <v>40</v>
      </c>
      <c r="G61" s="2">
        <v>45418</v>
      </c>
      <c r="H61" s="3">
        <v>118000</v>
      </c>
      <c r="I61">
        <v>1</v>
      </c>
      <c r="J61" t="s">
        <v>37</v>
      </c>
      <c r="K61" s="2">
        <v>46151</v>
      </c>
    </row>
    <row r="62" spans="1:11" x14ac:dyDescent="0.2">
      <c r="A62" t="s">
        <v>156</v>
      </c>
      <c r="B62" t="s">
        <v>157</v>
      </c>
      <c r="C62" t="s">
        <v>123</v>
      </c>
      <c r="D62" t="s">
        <v>133</v>
      </c>
      <c r="E62" t="s">
        <v>57</v>
      </c>
      <c r="F62" t="s">
        <v>16</v>
      </c>
      <c r="G62" s="2">
        <v>43528</v>
      </c>
      <c r="H62" s="3">
        <v>141000</v>
      </c>
      <c r="I62">
        <v>1</v>
      </c>
      <c r="J62" t="s">
        <v>17</v>
      </c>
    </row>
    <row r="63" spans="1:11" x14ac:dyDescent="0.2">
      <c r="A63" t="s">
        <v>158</v>
      </c>
      <c r="B63" t="s">
        <v>159</v>
      </c>
      <c r="C63" t="s">
        <v>123</v>
      </c>
      <c r="D63" t="s">
        <v>133</v>
      </c>
      <c r="E63" t="s">
        <v>15</v>
      </c>
      <c r="F63" t="s">
        <v>16</v>
      </c>
      <c r="G63" s="2">
        <v>45974</v>
      </c>
      <c r="H63" s="3">
        <v>272000</v>
      </c>
      <c r="I63">
        <v>1</v>
      </c>
      <c r="J63" t="s">
        <v>17</v>
      </c>
    </row>
    <row r="64" spans="1:11" x14ac:dyDescent="0.2">
      <c r="A64" t="s">
        <v>160</v>
      </c>
      <c r="B64" t="s">
        <v>161</v>
      </c>
      <c r="C64" t="s">
        <v>123</v>
      </c>
      <c r="D64" t="s">
        <v>133</v>
      </c>
      <c r="E64" t="s">
        <v>57</v>
      </c>
      <c r="F64" t="s">
        <v>40</v>
      </c>
      <c r="G64" s="2">
        <v>46104</v>
      </c>
      <c r="H64" s="3">
        <v>148000</v>
      </c>
      <c r="I64">
        <v>1</v>
      </c>
      <c r="J64" t="s">
        <v>17</v>
      </c>
    </row>
    <row r="65" spans="1:11" x14ac:dyDescent="0.2">
      <c r="A65" t="s">
        <v>162</v>
      </c>
      <c r="B65" t="s">
        <v>163</v>
      </c>
      <c r="C65" t="s">
        <v>123</v>
      </c>
      <c r="D65" t="s">
        <v>130</v>
      </c>
      <c r="E65" t="s">
        <v>57</v>
      </c>
      <c r="F65" t="s">
        <v>40</v>
      </c>
      <c r="G65" s="2">
        <v>46083</v>
      </c>
      <c r="H65" s="3">
        <v>111000</v>
      </c>
      <c r="I65">
        <v>1</v>
      </c>
      <c r="J65" t="s">
        <v>17</v>
      </c>
    </row>
    <row r="66" spans="1:11" x14ac:dyDescent="0.2">
      <c r="A66" t="s">
        <v>164</v>
      </c>
      <c r="B66" t="s">
        <v>165</v>
      </c>
      <c r="C66" t="s">
        <v>123</v>
      </c>
      <c r="D66" t="s">
        <v>130</v>
      </c>
      <c r="E66" t="s">
        <v>24</v>
      </c>
      <c r="F66" t="s">
        <v>30</v>
      </c>
      <c r="G66" s="2">
        <v>45938</v>
      </c>
      <c r="H66" s="3">
        <v>177000</v>
      </c>
      <c r="I66">
        <v>1</v>
      </c>
      <c r="J66" t="s">
        <v>17</v>
      </c>
    </row>
    <row r="67" spans="1:11" x14ac:dyDescent="0.2">
      <c r="A67" t="s">
        <v>166</v>
      </c>
      <c r="B67" t="s">
        <v>167</v>
      </c>
      <c r="C67" t="s">
        <v>123</v>
      </c>
      <c r="D67" t="s">
        <v>133</v>
      </c>
      <c r="E67" t="s">
        <v>48</v>
      </c>
      <c r="F67" t="s">
        <v>25</v>
      </c>
      <c r="G67" s="2">
        <v>45115</v>
      </c>
      <c r="H67" s="3">
        <v>168000</v>
      </c>
      <c r="I67">
        <v>0.8</v>
      </c>
      <c r="J67" t="s">
        <v>17</v>
      </c>
    </row>
    <row r="68" spans="1:11" x14ac:dyDescent="0.2">
      <c r="A68" t="s">
        <v>168</v>
      </c>
      <c r="B68" t="s">
        <v>169</v>
      </c>
      <c r="C68" t="s">
        <v>123</v>
      </c>
      <c r="D68" t="s">
        <v>130</v>
      </c>
      <c r="E68" t="s">
        <v>29</v>
      </c>
      <c r="F68" t="s">
        <v>30</v>
      </c>
      <c r="G68" s="2">
        <v>44171</v>
      </c>
      <c r="H68" s="3">
        <v>120000</v>
      </c>
      <c r="I68">
        <v>1</v>
      </c>
      <c r="J68" t="s">
        <v>17</v>
      </c>
    </row>
    <row r="69" spans="1:11" x14ac:dyDescent="0.2">
      <c r="A69" t="s">
        <v>170</v>
      </c>
      <c r="B69" t="s">
        <v>171</v>
      </c>
      <c r="C69" t="s">
        <v>123</v>
      </c>
      <c r="D69" t="s">
        <v>133</v>
      </c>
      <c r="E69" t="s">
        <v>57</v>
      </c>
      <c r="F69" t="s">
        <v>40</v>
      </c>
      <c r="G69" s="2">
        <v>44427</v>
      </c>
      <c r="H69" s="3">
        <v>115000</v>
      </c>
      <c r="I69">
        <v>1</v>
      </c>
      <c r="J69" t="s">
        <v>17</v>
      </c>
    </row>
    <row r="70" spans="1:11" x14ac:dyDescent="0.2">
      <c r="A70" t="s">
        <v>172</v>
      </c>
      <c r="B70" t="s">
        <v>173</v>
      </c>
      <c r="C70" t="s">
        <v>123</v>
      </c>
      <c r="D70" t="s">
        <v>124</v>
      </c>
      <c r="E70" t="s">
        <v>57</v>
      </c>
      <c r="F70" t="s">
        <v>40</v>
      </c>
      <c r="G70" s="2">
        <v>44759</v>
      </c>
      <c r="H70" s="3">
        <v>121000</v>
      </c>
      <c r="I70">
        <v>1</v>
      </c>
      <c r="J70" t="s">
        <v>37</v>
      </c>
      <c r="K70" s="2">
        <v>46044</v>
      </c>
    </row>
    <row r="71" spans="1:11" x14ac:dyDescent="0.2">
      <c r="A71" t="s">
        <v>174</v>
      </c>
      <c r="B71" t="s">
        <v>175</v>
      </c>
      <c r="C71" t="s">
        <v>123</v>
      </c>
      <c r="D71" t="s">
        <v>127</v>
      </c>
      <c r="E71" t="s">
        <v>29</v>
      </c>
      <c r="F71" t="s">
        <v>40</v>
      </c>
      <c r="G71" s="2">
        <v>43807</v>
      </c>
      <c r="H71" s="3">
        <v>111000</v>
      </c>
      <c r="I71">
        <v>1</v>
      </c>
      <c r="J71" t="s">
        <v>17</v>
      </c>
    </row>
    <row r="72" spans="1:11" x14ac:dyDescent="0.2">
      <c r="A72" t="s">
        <v>176</v>
      </c>
      <c r="B72" t="s">
        <v>177</v>
      </c>
      <c r="C72" t="s">
        <v>178</v>
      </c>
      <c r="D72" t="s">
        <v>179</v>
      </c>
      <c r="E72" t="s">
        <v>24</v>
      </c>
      <c r="F72" t="s">
        <v>16</v>
      </c>
      <c r="G72" s="2">
        <v>45539</v>
      </c>
      <c r="H72" s="3">
        <v>248000</v>
      </c>
      <c r="I72">
        <v>1</v>
      </c>
      <c r="J72" t="s">
        <v>17</v>
      </c>
    </row>
    <row r="73" spans="1:11" x14ac:dyDescent="0.2">
      <c r="A73" t="s">
        <v>180</v>
      </c>
      <c r="B73" t="s">
        <v>181</v>
      </c>
      <c r="C73" t="s">
        <v>178</v>
      </c>
      <c r="D73" t="s">
        <v>182</v>
      </c>
      <c r="E73" t="s">
        <v>29</v>
      </c>
      <c r="F73" t="s">
        <v>40</v>
      </c>
      <c r="G73" s="2">
        <v>45097</v>
      </c>
      <c r="H73" s="3">
        <v>108000</v>
      </c>
      <c r="I73">
        <v>1</v>
      </c>
      <c r="J73" t="s">
        <v>17</v>
      </c>
    </row>
    <row r="74" spans="1:11" x14ac:dyDescent="0.2">
      <c r="A74" t="s">
        <v>183</v>
      </c>
      <c r="B74" t="s">
        <v>184</v>
      </c>
      <c r="C74" t="s">
        <v>178</v>
      </c>
      <c r="D74" t="s">
        <v>185</v>
      </c>
      <c r="E74" t="s">
        <v>15</v>
      </c>
      <c r="F74" t="s">
        <v>40</v>
      </c>
      <c r="G74" s="2">
        <v>44219</v>
      </c>
      <c r="H74" s="3">
        <v>283000</v>
      </c>
      <c r="I74">
        <v>0.8</v>
      </c>
      <c r="J74" t="s">
        <v>37</v>
      </c>
      <c r="K74" s="2">
        <v>46273</v>
      </c>
    </row>
    <row r="75" spans="1:11" x14ac:dyDescent="0.2">
      <c r="A75" t="s">
        <v>186</v>
      </c>
      <c r="B75" t="s">
        <v>187</v>
      </c>
      <c r="C75" t="s">
        <v>178</v>
      </c>
      <c r="D75" t="s">
        <v>182</v>
      </c>
      <c r="E75" t="s">
        <v>57</v>
      </c>
      <c r="F75" t="s">
        <v>40</v>
      </c>
      <c r="G75" s="2">
        <v>43561</v>
      </c>
      <c r="H75" s="3">
        <v>146000</v>
      </c>
      <c r="I75">
        <v>1</v>
      </c>
      <c r="J75" t="s">
        <v>17</v>
      </c>
    </row>
    <row r="76" spans="1:11" x14ac:dyDescent="0.2">
      <c r="A76" t="s">
        <v>188</v>
      </c>
      <c r="B76" t="s">
        <v>189</v>
      </c>
      <c r="C76" t="s">
        <v>178</v>
      </c>
      <c r="D76" t="s">
        <v>182</v>
      </c>
      <c r="E76" t="s">
        <v>48</v>
      </c>
      <c r="F76" t="s">
        <v>40</v>
      </c>
      <c r="G76" s="2">
        <v>45539</v>
      </c>
      <c r="H76" s="3">
        <v>187000</v>
      </c>
      <c r="I76">
        <v>1</v>
      </c>
      <c r="J76" t="s">
        <v>17</v>
      </c>
    </row>
    <row r="77" spans="1:11" x14ac:dyDescent="0.2">
      <c r="A77" t="s">
        <v>190</v>
      </c>
      <c r="B77" t="s">
        <v>191</v>
      </c>
      <c r="C77" t="s">
        <v>178</v>
      </c>
      <c r="D77" t="s">
        <v>192</v>
      </c>
      <c r="E77" t="s">
        <v>24</v>
      </c>
      <c r="F77" t="s">
        <v>25</v>
      </c>
      <c r="G77" s="2">
        <v>43506</v>
      </c>
      <c r="H77" s="3">
        <v>241000</v>
      </c>
      <c r="I77">
        <v>1</v>
      </c>
      <c r="J77" t="s">
        <v>17</v>
      </c>
    </row>
    <row r="78" spans="1:11" x14ac:dyDescent="0.2">
      <c r="A78" t="s">
        <v>193</v>
      </c>
      <c r="B78" t="s">
        <v>194</v>
      </c>
      <c r="C78" t="s">
        <v>178</v>
      </c>
      <c r="D78" t="s">
        <v>192</v>
      </c>
      <c r="E78" t="s">
        <v>48</v>
      </c>
      <c r="F78" t="s">
        <v>25</v>
      </c>
      <c r="G78" s="2">
        <v>43807</v>
      </c>
      <c r="H78" s="3">
        <v>159000</v>
      </c>
      <c r="I78">
        <v>1</v>
      </c>
      <c r="J78" t="s">
        <v>17</v>
      </c>
    </row>
    <row r="79" spans="1:11" x14ac:dyDescent="0.2">
      <c r="A79" t="s">
        <v>195</v>
      </c>
      <c r="B79" t="s">
        <v>196</v>
      </c>
      <c r="C79" t="s">
        <v>178</v>
      </c>
      <c r="D79" t="s">
        <v>185</v>
      </c>
      <c r="E79" t="s">
        <v>48</v>
      </c>
      <c r="F79" t="s">
        <v>40</v>
      </c>
      <c r="G79" s="2">
        <v>45146</v>
      </c>
      <c r="H79" s="3">
        <v>183000</v>
      </c>
      <c r="I79">
        <v>1</v>
      </c>
      <c r="J79" t="s">
        <v>37</v>
      </c>
      <c r="K79" s="2">
        <v>46069</v>
      </c>
    </row>
    <row r="80" spans="1:11" x14ac:dyDescent="0.2">
      <c r="A80" t="s">
        <v>197</v>
      </c>
      <c r="B80" t="s">
        <v>198</v>
      </c>
      <c r="C80" t="s">
        <v>178</v>
      </c>
      <c r="D80" t="s">
        <v>192</v>
      </c>
      <c r="E80" t="s">
        <v>48</v>
      </c>
      <c r="F80" t="s">
        <v>40</v>
      </c>
      <c r="G80" s="2">
        <v>44013</v>
      </c>
      <c r="H80" s="3">
        <v>169000</v>
      </c>
      <c r="I80">
        <v>1</v>
      </c>
      <c r="J80" t="s">
        <v>17</v>
      </c>
    </row>
    <row r="81" spans="1:10" x14ac:dyDescent="0.2">
      <c r="A81" t="s">
        <v>199</v>
      </c>
      <c r="B81" t="s">
        <v>200</v>
      </c>
      <c r="C81" t="s">
        <v>178</v>
      </c>
      <c r="D81" t="s">
        <v>185</v>
      </c>
      <c r="E81" t="s">
        <v>48</v>
      </c>
      <c r="F81" t="s">
        <v>16</v>
      </c>
      <c r="G81" s="2">
        <v>43615</v>
      </c>
      <c r="H81" s="3">
        <v>182000</v>
      </c>
      <c r="I81">
        <v>1</v>
      </c>
      <c r="J81" t="s">
        <v>17</v>
      </c>
    </row>
    <row r="82" spans="1:10" x14ac:dyDescent="0.2">
      <c r="A82" t="s">
        <v>201</v>
      </c>
      <c r="B82" t="s">
        <v>202</v>
      </c>
      <c r="C82" t="s">
        <v>178</v>
      </c>
      <c r="D82" t="s">
        <v>192</v>
      </c>
      <c r="E82" t="s">
        <v>57</v>
      </c>
      <c r="F82" t="s">
        <v>34</v>
      </c>
      <c r="G82" s="2">
        <v>46130</v>
      </c>
      <c r="H82" s="3">
        <v>110000</v>
      </c>
      <c r="I82">
        <v>1</v>
      </c>
      <c r="J82" t="s">
        <v>17</v>
      </c>
    </row>
    <row r="83" spans="1:10" x14ac:dyDescent="0.2">
      <c r="A83" t="s">
        <v>203</v>
      </c>
      <c r="B83" t="s">
        <v>204</v>
      </c>
      <c r="C83" t="s">
        <v>178</v>
      </c>
      <c r="D83" t="s">
        <v>179</v>
      </c>
      <c r="E83" t="s">
        <v>57</v>
      </c>
      <c r="F83" t="s">
        <v>40</v>
      </c>
      <c r="G83" s="2">
        <v>43790</v>
      </c>
      <c r="H83" s="3">
        <v>145000</v>
      </c>
      <c r="I83">
        <v>0.8</v>
      </c>
      <c r="J83" t="s">
        <v>17</v>
      </c>
    </row>
    <row r="84" spans="1:10" x14ac:dyDescent="0.2">
      <c r="A84" t="s">
        <v>205</v>
      </c>
      <c r="B84" t="s">
        <v>206</v>
      </c>
      <c r="C84" t="s">
        <v>178</v>
      </c>
      <c r="D84" t="s">
        <v>182</v>
      </c>
      <c r="E84" t="s">
        <v>29</v>
      </c>
      <c r="F84" t="s">
        <v>30</v>
      </c>
      <c r="G84" s="2">
        <v>43962</v>
      </c>
      <c r="H84" s="3">
        <v>119000</v>
      </c>
      <c r="I84">
        <v>1</v>
      </c>
      <c r="J84" t="s">
        <v>17</v>
      </c>
    </row>
    <row r="85" spans="1:10" x14ac:dyDescent="0.2">
      <c r="A85" t="s">
        <v>207</v>
      </c>
      <c r="B85" t="s">
        <v>208</v>
      </c>
      <c r="C85" t="s">
        <v>178</v>
      </c>
      <c r="D85" t="s">
        <v>182</v>
      </c>
      <c r="E85" t="s">
        <v>57</v>
      </c>
      <c r="F85" t="s">
        <v>25</v>
      </c>
      <c r="G85" s="2">
        <v>45393</v>
      </c>
      <c r="H85" s="3">
        <v>125000</v>
      </c>
      <c r="I85">
        <v>1</v>
      </c>
      <c r="J85" t="s">
        <v>17</v>
      </c>
    </row>
    <row r="86" spans="1:10" x14ac:dyDescent="0.2">
      <c r="A86" t="s">
        <v>209</v>
      </c>
      <c r="B86" t="s">
        <v>210</v>
      </c>
      <c r="C86" t="s">
        <v>178</v>
      </c>
      <c r="D86" t="s">
        <v>192</v>
      </c>
      <c r="E86" t="s">
        <v>57</v>
      </c>
      <c r="F86" t="s">
        <v>25</v>
      </c>
      <c r="G86" s="2">
        <v>46158</v>
      </c>
      <c r="H86" s="3">
        <v>126000</v>
      </c>
      <c r="I86">
        <v>1</v>
      </c>
      <c r="J86" t="s">
        <v>17</v>
      </c>
    </row>
    <row r="87" spans="1:10" x14ac:dyDescent="0.2">
      <c r="A87" t="s">
        <v>211</v>
      </c>
      <c r="B87" t="s">
        <v>212</v>
      </c>
      <c r="C87" t="s">
        <v>178</v>
      </c>
      <c r="D87" t="s">
        <v>192</v>
      </c>
      <c r="E87" t="s">
        <v>48</v>
      </c>
      <c r="F87" t="s">
        <v>30</v>
      </c>
      <c r="G87" s="2">
        <v>44034</v>
      </c>
      <c r="H87" s="3">
        <v>154000</v>
      </c>
      <c r="I87">
        <v>1</v>
      </c>
      <c r="J87" t="s">
        <v>17</v>
      </c>
    </row>
    <row r="88" spans="1:10" x14ac:dyDescent="0.2">
      <c r="A88" t="s">
        <v>213</v>
      </c>
      <c r="B88" t="s">
        <v>214</v>
      </c>
      <c r="C88" t="s">
        <v>178</v>
      </c>
      <c r="D88" t="s">
        <v>192</v>
      </c>
      <c r="E88" t="s">
        <v>57</v>
      </c>
      <c r="F88" t="s">
        <v>25</v>
      </c>
      <c r="G88" s="2">
        <v>43879</v>
      </c>
      <c r="H88" s="3">
        <v>158000</v>
      </c>
      <c r="I88">
        <v>1</v>
      </c>
      <c r="J88" t="s">
        <v>17</v>
      </c>
    </row>
    <row r="89" spans="1:10" x14ac:dyDescent="0.2">
      <c r="A89" t="s">
        <v>215</v>
      </c>
      <c r="B89" t="s">
        <v>216</v>
      </c>
      <c r="C89" t="s">
        <v>178</v>
      </c>
      <c r="D89" t="s">
        <v>185</v>
      </c>
      <c r="E89" t="s">
        <v>57</v>
      </c>
      <c r="F89" t="s">
        <v>30</v>
      </c>
      <c r="G89" s="2">
        <v>44604</v>
      </c>
      <c r="H89" s="3">
        <v>156000</v>
      </c>
      <c r="I89">
        <v>1</v>
      </c>
      <c r="J89" t="s">
        <v>17</v>
      </c>
    </row>
    <row r="90" spans="1:10" x14ac:dyDescent="0.2">
      <c r="A90" t="s">
        <v>217</v>
      </c>
      <c r="B90" t="s">
        <v>218</v>
      </c>
      <c r="C90" t="s">
        <v>219</v>
      </c>
      <c r="D90" t="s">
        <v>220</v>
      </c>
      <c r="E90" t="s">
        <v>29</v>
      </c>
      <c r="F90" t="s">
        <v>40</v>
      </c>
      <c r="G90" s="2">
        <v>46070</v>
      </c>
      <c r="H90" s="3">
        <v>124000</v>
      </c>
      <c r="I90">
        <v>1</v>
      </c>
      <c r="J90" t="s">
        <v>17</v>
      </c>
    </row>
    <row r="91" spans="1:10" x14ac:dyDescent="0.2">
      <c r="A91" t="s">
        <v>221</v>
      </c>
      <c r="B91" t="s">
        <v>222</v>
      </c>
      <c r="C91" t="s">
        <v>219</v>
      </c>
      <c r="D91" t="s">
        <v>223</v>
      </c>
      <c r="E91" t="s">
        <v>57</v>
      </c>
      <c r="F91" t="s">
        <v>30</v>
      </c>
      <c r="G91" s="2">
        <v>45428</v>
      </c>
      <c r="H91" s="3">
        <v>132000</v>
      </c>
      <c r="I91">
        <v>1</v>
      </c>
      <c r="J91" t="s">
        <v>17</v>
      </c>
    </row>
    <row r="92" spans="1:10" x14ac:dyDescent="0.2">
      <c r="A92" t="s">
        <v>224</v>
      </c>
      <c r="B92" t="s">
        <v>225</v>
      </c>
      <c r="C92" t="s">
        <v>219</v>
      </c>
      <c r="D92" t="s">
        <v>220</v>
      </c>
      <c r="E92" t="s">
        <v>24</v>
      </c>
      <c r="F92" t="s">
        <v>25</v>
      </c>
      <c r="G92" s="2">
        <v>45161</v>
      </c>
      <c r="H92" s="3">
        <v>188000</v>
      </c>
      <c r="I92">
        <v>1</v>
      </c>
      <c r="J92" t="s">
        <v>17</v>
      </c>
    </row>
    <row r="93" spans="1:10" x14ac:dyDescent="0.2">
      <c r="A93" t="s">
        <v>226</v>
      </c>
      <c r="B93" t="s">
        <v>227</v>
      </c>
      <c r="C93" t="s">
        <v>219</v>
      </c>
      <c r="D93" t="s">
        <v>220</v>
      </c>
      <c r="E93" t="s">
        <v>57</v>
      </c>
      <c r="F93" t="s">
        <v>30</v>
      </c>
      <c r="G93" s="2">
        <v>46181</v>
      </c>
      <c r="H93" s="3">
        <v>111000</v>
      </c>
      <c r="I93">
        <v>1</v>
      </c>
      <c r="J93" t="s">
        <v>17</v>
      </c>
    </row>
    <row r="94" spans="1:10" x14ac:dyDescent="0.2">
      <c r="A94" t="s">
        <v>228</v>
      </c>
      <c r="B94" t="s">
        <v>229</v>
      </c>
      <c r="C94" t="s">
        <v>219</v>
      </c>
      <c r="D94" t="s">
        <v>220</v>
      </c>
      <c r="E94" t="s">
        <v>48</v>
      </c>
      <c r="F94" t="s">
        <v>40</v>
      </c>
      <c r="G94" s="2">
        <v>44743</v>
      </c>
      <c r="H94" s="3">
        <v>184000</v>
      </c>
      <c r="I94">
        <v>1</v>
      </c>
      <c r="J94" t="s">
        <v>17</v>
      </c>
    </row>
    <row r="95" spans="1:10" x14ac:dyDescent="0.2">
      <c r="A95" t="s">
        <v>230</v>
      </c>
      <c r="B95" t="s">
        <v>231</v>
      </c>
      <c r="C95" t="s">
        <v>219</v>
      </c>
      <c r="D95" t="s">
        <v>223</v>
      </c>
      <c r="E95" t="s">
        <v>57</v>
      </c>
      <c r="F95" t="s">
        <v>40</v>
      </c>
      <c r="G95" s="2">
        <v>45309</v>
      </c>
      <c r="H95" s="3">
        <v>129000</v>
      </c>
      <c r="I95">
        <v>1</v>
      </c>
      <c r="J95" t="s">
        <v>17</v>
      </c>
    </row>
    <row r="96" spans="1:10" x14ac:dyDescent="0.2">
      <c r="A96" t="s">
        <v>232</v>
      </c>
      <c r="B96" t="s">
        <v>233</v>
      </c>
      <c r="C96" t="s">
        <v>219</v>
      </c>
      <c r="D96" t="s">
        <v>223</v>
      </c>
      <c r="E96" t="s">
        <v>57</v>
      </c>
      <c r="F96" t="s">
        <v>25</v>
      </c>
      <c r="G96" s="2">
        <v>45277</v>
      </c>
      <c r="H96" s="3">
        <v>157000</v>
      </c>
      <c r="I96">
        <v>1</v>
      </c>
      <c r="J96" t="s">
        <v>17</v>
      </c>
    </row>
    <row r="97" spans="1:11" x14ac:dyDescent="0.2">
      <c r="A97" t="s">
        <v>234</v>
      </c>
      <c r="B97" t="s">
        <v>235</v>
      </c>
      <c r="C97" t="s">
        <v>219</v>
      </c>
      <c r="D97" t="s">
        <v>223</v>
      </c>
      <c r="E97" t="s">
        <v>57</v>
      </c>
      <c r="F97" t="s">
        <v>40</v>
      </c>
      <c r="G97" s="2">
        <v>45242</v>
      </c>
      <c r="H97" s="3">
        <v>117000</v>
      </c>
      <c r="I97">
        <v>1</v>
      </c>
      <c r="J97" t="s">
        <v>17</v>
      </c>
    </row>
    <row r="98" spans="1:11" x14ac:dyDescent="0.2">
      <c r="A98" t="s">
        <v>236</v>
      </c>
      <c r="B98" t="s">
        <v>237</v>
      </c>
      <c r="C98" t="s">
        <v>219</v>
      </c>
      <c r="D98" t="s">
        <v>238</v>
      </c>
      <c r="E98" t="s">
        <v>57</v>
      </c>
      <c r="F98" t="s">
        <v>25</v>
      </c>
      <c r="G98" s="2">
        <v>44970</v>
      </c>
      <c r="H98" s="3">
        <v>117000</v>
      </c>
      <c r="I98">
        <v>1</v>
      </c>
      <c r="J98" t="s">
        <v>17</v>
      </c>
    </row>
    <row r="99" spans="1:11" x14ac:dyDescent="0.2">
      <c r="A99" t="s">
        <v>239</v>
      </c>
      <c r="B99" t="s">
        <v>240</v>
      </c>
      <c r="C99" t="s">
        <v>219</v>
      </c>
      <c r="D99" t="s">
        <v>238</v>
      </c>
      <c r="E99" t="s">
        <v>21</v>
      </c>
      <c r="F99" t="s">
        <v>30</v>
      </c>
      <c r="G99" s="2">
        <v>45715</v>
      </c>
      <c r="H99" s="3">
        <v>414000</v>
      </c>
      <c r="I99">
        <v>1</v>
      </c>
      <c r="J99" t="s">
        <v>17</v>
      </c>
    </row>
    <row r="100" spans="1:11" x14ac:dyDescent="0.2">
      <c r="A100" t="s">
        <v>241</v>
      </c>
      <c r="B100" t="s">
        <v>242</v>
      </c>
      <c r="C100" t="s">
        <v>219</v>
      </c>
      <c r="D100" t="s">
        <v>238</v>
      </c>
      <c r="E100" t="s">
        <v>48</v>
      </c>
      <c r="F100" t="s">
        <v>40</v>
      </c>
      <c r="G100" s="2">
        <v>44279</v>
      </c>
      <c r="H100" s="3">
        <v>190000</v>
      </c>
      <c r="I100">
        <v>1</v>
      </c>
      <c r="J100" t="s">
        <v>17</v>
      </c>
    </row>
    <row r="101" spans="1:11" x14ac:dyDescent="0.2">
      <c r="A101" t="s">
        <v>243</v>
      </c>
      <c r="B101" t="s">
        <v>244</v>
      </c>
      <c r="C101" t="s">
        <v>219</v>
      </c>
      <c r="D101" t="s">
        <v>223</v>
      </c>
      <c r="E101" t="s">
        <v>21</v>
      </c>
      <c r="F101" t="s">
        <v>16</v>
      </c>
      <c r="G101" s="2">
        <v>44635</v>
      </c>
      <c r="H101" s="3">
        <v>370000</v>
      </c>
      <c r="I101">
        <v>1</v>
      </c>
      <c r="J101" t="s">
        <v>17</v>
      </c>
    </row>
    <row r="102" spans="1:11" x14ac:dyDescent="0.2">
      <c r="A102" t="s">
        <v>245</v>
      </c>
      <c r="B102" t="s">
        <v>246</v>
      </c>
      <c r="C102" t="s">
        <v>247</v>
      </c>
      <c r="D102" t="s">
        <v>248</v>
      </c>
      <c r="E102" t="s">
        <v>24</v>
      </c>
      <c r="F102" t="s">
        <v>25</v>
      </c>
      <c r="G102" s="2">
        <v>46182</v>
      </c>
      <c r="H102" s="3">
        <v>247000</v>
      </c>
      <c r="I102">
        <v>1</v>
      </c>
      <c r="J102" t="s">
        <v>17</v>
      </c>
    </row>
    <row r="103" spans="1:11" x14ac:dyDescent="0.2">
      <c r="A103" t="s">
        <v>249</v>
      </c>
      <c r="B103" t="s">
        <v>250</v>
      </c>
      <c r="C103" t="s">
        <v>247</v>
      </c>
      <c r="D103" t="s">
        <v>251</v>
      </c>
      <c r="E103" t="s">
        <v>48</v>
      </c>
      <c r="F103" t="s">
        <v>40</v>
      </c>
      <c r="G103" s="2">
        <v>46158</v>
      </c>
      <c r="H103" s="3">
        <v>169000</v>
      </c>
      <c r="I103">
        <v>1</v>
      </c>
      <c r="J103" t="s">
        <v>17</v>
      </c>
    </row>
    <row r="104" spans="1:11" x14ac:dyDescent="0.2">
      <c r="A104" t="s">
        <v>252</v>
      </c>
      <c r="B104" t="s">
        <v>253</v>
      </c>
      <c r="C104" t="s">
        <v>247</v>
      </c>
      <c r="D104" t="s">
        <v>254</v>
      </c>
      <c r="E104" t="s">
        <v>21</v>
      </c>
      <c r="F104" t="s">
        <v>25</v>
      </c>
      <c r="G104" s="2">
        <v>45023</v>
      </c>
      <c r="H104" s="3">
        <v>388000</v>
      </c>
      <c r="I104">
        <v>0.8</v>
      </c>
      <c r="J104" t="s">
        <v>17</v>
      </c>
    </row>
    <row r="105" spans="1:11" x14ac:dyDescent="0.2">
      <c r="A105" t="s">
        <v>255</v>
      </c>
      <c r="B105" t="s">
        <v>256</v>
      </c>
      <c r="C105" t="s">
        <v>247</v>
      </c>
      <c r="D105" t="s">
        <v>248</v>
      </c>
      <c r="E105" t="s">
        <v>15</v>
      </c>
      <c r="F105" t="s">
        <v>34</v>
      </c>
      <c r="G105" s="2">
        <v>44013</v>
      </c>
      <c r="H105" s="3">
        <v>303000</v>
      </c>
      <c r="I105">
        <v>1</v>
      </c>
      <c r="J105" t="s">
        <v>17</v>
      </c>
    </row>
    <row r="106" spans="1:11" x14ac:dyDescent="0.2">
      <c r="A106" t="s">
        <v>257</v>
      </c>
      <c r="B106" t="s">
        <v>258</v>
      </c>
      <c r="C106" t="s">
        <v>247</v>
      </c>
      <c r="D106" t="s">
        <v>254</v>
      </c>
      <c r="E106" t="s">
        <v>15</v>
      </c>
      <c r="F106" t="s">
        <v>25</v>
      </c>
      <c r="G106" s="2">
        <v>43785</v>
      </c>
      <c r="H106" s="3">
        <v>243000</v>
      </c>
      <c r="I106">
        <v>1</v>
      </c>
      <c r="J106" t="s">
        <v>17</v>
      </c>
    </row>
    <row r="107" spans="1:11" x14ac:dyDescent="0.2">
      <c r="A107" t="s">
        <v>259</v>
      </c>
      <c r="B107" t="s">
        <v>260</v>
      </c>
      <c r="C107" t="s">
        <v>247</v>
      </c>
      <c r="D107" t="s">
        <v>254</v>
      </c>
      <c r="E107" t="s">
        <v>48</v>
      </c>
      <c r="F107" t="s">
        <v>40</v>
      </c>
      <c r="G107" s="2">
        <v>46195</v>
      </c>
      <c r="H107" s="3">
        <v>191000</v>
      </c>
      <c r="I107">
        <v>1</v>
      </c>
      <c r="J107" t="s">
        <v>17</v>
      </c>
    </row>
    <row r="108" spans="1:11" x14ac:dyDescent="0.2">
      <c r="A108" t="s">
        <v>261</v>
      </c>
      <c r="B108" t="s">
        <v>262</v>
      </c>
      <c r="C108" t="s">
        <v>247</v>
      </c>
      <c r="D108" t="s">
        <v>251</v>
      </c>
      <c r="E108" t="s">
        <v>21</v>
      </c>
      <c r="F108" t="s">
        <v>30</v>
      </c>
      <c r="G108" s="2">
        <v>44570</v>
      </c>
      <c r="H108" s="3">
        <v>408000</v>
      </c>
      <c r="I108">
        <v>1</v>
      </c>
      <c r="J108" t="s">
        <v>17</v>
      </c>
    </row>
    <row r="109" spans="1:11" x14ac:dyDescent="0.2">
      <c r="A109" t="s">
        <v>263</v>
      </c>
      <c r="B109" t="s">
        <v>264</v>
      </c>
      <c r="C109" t="s">
        <v>247</v>
      </c>
      <c r="D109" t="s">
        <v>251</v>
      </c>
      <c r="E109" t="s">
        <v>29</v>
      </c>
      <c r="F109" t="s">
        <v>16</v>
      </c>
      <c r="G109" s="2">
        <v>45243</v>
      </c>
      <c r="H109" s="3">
        <v>107000</v>
      </c>
      <c r="I109">
        <v>1</v>
      </c>
      <c r="J109" t="s">
        <v>17</v>
      </c>
    </row>
    <row r="110" spans="1:11" x14ac:dyDescent="0.2">
      <c r="A110" t="s">
        <v>265</v>
      </c>
      <c r="B110" t="s">
        <v>266</v>
      </c>
      <c r="C110" t="s">
        <v>267</v>
      </c>
      <c r="D110" t="s">
        <v>268</v>
      </c>
      <c r="E110" t="s">
        <v>24</v>
      </c>
      <c r="F110" t="s">
        <v>40</v>
      </c>
      <c r="G110" s="2">
        <v>43513</v>
      </c>
      <c r="H110" s="3">
        <v>180000</v>
      </c>
      <c r="I110">
        <v>1</v>
      </c>
      <c r="J110" t="s">
        <v>37</v>
      </c>
      <c r="K110" s="2">
        <v>46087</v>
      </c>
    </row>
    <row r="111" spans="1:11" x14ac:dyDescent="0.2">
      <c r="A111" t="s">
        <v>269</v>
      </c>
      <c r="B111" t="s">
        <v>270</v>
      </c>
      <c r="C111" t="s">
        <v>267</v>
      </c>
      <c r="D111" t="s">
        <v>271</v>
      </c>
      <c r="E111" t="s">
        <v>57</v>
      </c>
      <c r="F111" t="s">
        <v>25</v>
      </c>
      <c r="G111" s="2">
        <v>44104</v>
      </c>
      <c r="H111" s="3">
        <v>154000</v>
      </c>
      <c r="I111">
        <v>1</v>
      </c>
      <c r="J111" t="s">
        <v>17</v>
      </c>
    </row>
    <row r="112" spans="1:11" x14ac:dyDescent="0.2">
      <c r="A112" t="s">
        <v>272</v>
      </c>
      <c r="B112" t="s">
        <v>273</v>
      </c>
      <c r="C112" t="s">
        <v>267</v>
      </c>
      <c r="D112" t="s">
        <v>274</v>
      </c>
      <c r="E112" t="s">
        <v>29</v>
      </c>
      <c r="F112" t="s">
        <v>30</v>
      </c>
      <c r="G112" s="2">
        <v>43744</v>
      </c>
      <c r="H112" s="3">
        <v>129000</v>
      </c>
      <c r="I112">
        <v>1</v>
      </c>
      <c r="J112" t="s">
        <v>17</v>
      </c>
    </row>
    <row r="113" spans="1:11" x14ac:dyDescent="0.2">
      <c r="A113" t="s">
        <v>275</v>
      </c>
      <c r="B113" t="s">
        <v>276</v>
      </c>
      <c r="C113" t="s">
        <v>267</v>
      </c>
      <c r="D113" t="s">
        <v>277</v>
      </c>
      <c r="E113" t="s">
        <v>15</v>
      </c>
      <c r="F113" t="s">
        <v>30</v>
      </c>
      <c r="G113" s="2">
        <v>44620</v>
      </c>
      <c r="H113" s="3">
        <v>260000</v>
      </c>
      <c r="I113">
        <v>1</v>
      </c>
      <c r="J113" t="s">
        <v>17</v>
      </c>
    </row>
    <row r="114" spans="1:11" x14ac:dyDescent="0.2">
      <c r="A114" t="s">
        <v>278</v>
      </c>
      <c r="B114" t="s">
        <v>279</v>
      </c>
      <c r="C114" t="s">
        <v>267</v>
      </c>
      <c r="D114" t="s">
        <v>268</v>
      </c>
      <c r="E114" t="s">
        <v>48</v>
      </c>
      <c r="F114" t="s">
        <v>34</v>
      </c>
      <c r="G114" s="2">
        <v>46137</v>
      </c>
      <c r="H114" s="3">
        <v>162000</v>
      </c>
      <c r="I114">
        <v>1</v>
      </c>
      <c r="J114" t="s">
        <v>17</v>
      </c>
    </row>
    <row r="115" spans="1:11" x14ac:dyDescent="0.2">
      <c r="A115" t="s">
        <v>280</v>
      </c>
      <c r="B115" t="s">
        <v>281</v>
      </c>
      <c r="C115" t="s">
        <v>267</v>
      </c>
      <c r="D115" t="s">
        <v>277</v>
      </c>
      <c r="E115" t="s">
        <v>57</v>
      </c>
      <c r="F115" t="s">
        <v>40</v>
      </c>
      <c r="G115" s="2">
        <v>44109</v>
      </c>
      <c r="H115" s="3">
        <v>159000</v>
      </c>
      <c r="I115">
        <v>1</v>
      </c>
      <c r="J115" t="s">
        <v>17</v>
      </c>
    </row>
    <row r="116" spans="1:11" x14ac:dyDescent="0.2">
      <c r="A116" t="s">
        <v>282</v>
      </c>
      <c r="B116" t="s">
        <v>283</v>
      </c>
      <c r="C116" t="s">
        <v>267</v>
      </c>
      <c r="D116" t="s">
        <v>284</v>
      </c>
      <c r="E116" t="s">
        <v>24</v>
      </c>
      <c r="F116" t="s">
        <v>40</v>
      </c>
      <c r="G116" s="2">
        <v>43989</v>
      </c>
      <c r="H116" s="3">
        <v>245000</v>
      </c>
      <c r="I116">
        <v>1</v>
      </c>
      <c r="J116" t="s">
        <v>37</v>
      </c>
      <c r="K116" s="2">
        <v>46057</v>
      </c>
    </row>
    <row r="117" spans="1:11" x14ac:dyDescent="0.2">
      <c r="A117" t="s">
        <v>285</v>
      </c>
      <c r="B117" t="s">
        <v>286</v>
      </c>
      <c r="C117" t="s">
        <v>267</v>
      </c>
      <c r="D117" t="s">
        <v>274</v>
      </c>
      <c r="E117" t="s">
        <v>29</v>
      </c>
      <c r="F117" t="s">
        <v>30</v>
      </c>
      <c r="G117" s="2">
        <v>46196</v>
      </c>
      <c r="H117" s="3">
        <v>91000</v>
      </c>
      <c r="I117">
        <v>1</v>
      </c>
      <c r="J117" t="s">
        <v>17</v>
      </c>
    </row>
    <row r="118" spans="1:11" x14ac:dyDescent="0.2">
      <c r="A118" t="s">
        <v>287</v>
      </c>
      <c r="B118" t="s">
        <v>288</v>
      </c>
      <c r="C118" t="s">
        <v>267</v>
      </c>
      <c r="D118" t="s">
        <v>274</v>
      </c>
      <c r="E118" t="s">
        <v>24</v>
      </c>
      <c r="F118" t="s">
        <v>30</v>
      </c>
      <c r="G118" s="2">
        <v>45504</v>
      </c>
      <c r="H118" s="3">
        <v>218000</v>
      </c>
      <c r="I118">
        <v>1</v>
      </c>
      <c r="J118" t="s">
        <v>17</v>
      </c>
    </row>
    <row r="119" spans="1:11" x14ac:dyDescent="0.2">
      <c r="A119" t="s">
        <v>289</v>
      </c>
      <c r="B119" t="s">
        <v>290</v>
      </c>
      <c r="C119" t="s">
        <v>267</v>
      </c>
      <c r="D119" t="s">
        <v>277</v>
      </c>
      <c r="E119" t="s">
        <v>57</v>
      </c>
      <c r="F119" t="s">
        <v>40</v>
      </c>
      <c r="G119" s="2">
        <v>44076</v>
      </c>
      <c r="H119" s="3">
        <v>133000</v>
      </c>
      <c r="I119">
        <v>1</v>
      </c>
      <c r="J119" t="s">
        <v>17</v>
      </c>
    </row>
    <row r="120" spans="1:11" x14ac:dyDescent="0.2">
      <c r="A120" t="s">
        <v>291</v>
      </c>
      <c r="B120" t="s">
        <v>292</v>
      </c>
      <c r="C120" t="s">
        <v>267</v>
      </c>
      <c r="D120" t="s">
        <v>271</v>
      </c>
      <c r="E120" t="s">
        <v>48</v>
      </c>
      <c r="F120" t="s">
        <v>25</v>
      </c>
      <c r="G120" s="2">
        <v>44741</v>
      </c>
      <c r="H120" s="3">
        <v>191000</v>
      </c>
      <c r="I120">
        <v>1</v>
      </c>
      <c r="J120" t="s">
        <v>17</v>
      </c>
    </row>
    <row r="121" spans="1:11" x14ac:dyDescent="0.2">
      <c r="A121" t="s">
        <v>293</v>
      </c>
      <c r="B121" t="s">
        <v>294</v>
      </c>
      <c r="C121" t="s">
        <v>267</v>
      </c>
      <c r="D121" t="s">
        <v>271</v>
      </c>
      <c r="E121" t="s">
        <v>29</v>
      </c>
      <c r="F121" t="s">
        <v>16</v>
      </c>
      <c r="G121" s="2">
        <v>45682</v>
      </c>
      <c r="H121" s="3">
        <v>119000</v>
      </c>
      <c r="I121">
        <v>1</v>
      </c>
      <c r="J121" t="s">
        <v>17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8" customWidth="1"/>
    <col min="2" max="4" width="12" customWidth="1"/>
    <col min="5" max="5" width="14" customWidth="1"/>
  </cols>
  <sheetData>
    <row r="1" spans="1:5" x14ac:dyDescent="0.2">
      <c r="A1" s="1" t="s">
        <v>4</v>
      </c>
      <c r="B1" s="1" t="s">
        <v>295</v>
      </c>
      <c r="C1" s="1" t="s">
        <v>296</v>
      </c>
      <c r="D1" s="1" t="s">
        <v>297</v>
      </c>
      <c r="E1" s="1" t="s">
        <v>298</v>
      </c>
    </row>
    <row r="2" spans="1:5" x14ac:dyDescent="0.2">
      <c r="A2" t="s">
        <v>29</v>
      </c>
      <c r="B2" s="3">
        <v>90000</v>
      </c>
      <c r="C2" s="3">
        <v>110000</v>
      </c>
      <c r="D2" s="3">
        <v>130000</v>
      </c>
      <c r="E2" s="4">
        <v>0.05</v>
      </c>
    </row>
    <row r="3" spans="1:5" x14ac:dyDescent="0.2">
      <c r="A3" t="s">
        <v>57</v>
      </c>
      <c r="B3" s="3">
        <v>110000</v>
      </c>
      <c r="C3" s="3">
        <v>135000</v>
      </c>
      <c r="D3" s="3">
        <v>160000</v>
      </c>
      <c r="E3" s="4">
        <v>0.08</v>
      </c>
    </row>
    <row r="4" spans="1:5" x14ac:dyDescent="0.2">
      <c r="A4" t="s">
        <v>48</v>
      </c>
      <c r="B4" s="3">
        <v>140000</v>
      </c>
      <c r="C4" s="3">
        <v>170000</v>
      </c>
      <c r="D4" s="3">
        <v>200000</v>
      </c>
      <c r="E4" s="4">
        <v>0.1</v>
      </c>
    </row>
    <row r="5" spans="1:5" x14ac:dyDescent="0.2">
      <c r="A5" t="s">
        <v>24</v>
      </c>
      <c r="B5" s="3">
        <v>175000</v>
      </c>
      <c r="C5" s="3">
        <v>210000</v>
      </c>
      <c r="D5" s="3">
        <v>250000</v>
      </c>
      <c r="E5" s="4">
        <v>0.12</v>
      </c>
    </row>
    <row r="6" spans="1:5" x14ac:dyDescent="0.2">
      <c r="A6" t="s">
        <v>15</v>
      </c>
      <c r="B6" s="3">
        <v>220000</v>
      </c>
      <c r="C6" s="3">
        <v>265000</v>
      </c>
      <c r="D6" s="3">
        <v>320000</v>
      </c>
      <c r="E6" s="4">
        <v>0.15</v>
      </c>
    </row>
    <row r="7" spans="1:5" x14ac:dyDescent="0.2">
      <c r="A7" t="s">
        <v>21</v>
      </c>
      <c r="B7" s="3">
        <v>280000</v>
      </c>
      <c r="C7" s="3">
        <v>340000</v>
      </c>
      <c r="D7" s="3">
        <v>420000</v>
      </c>
      <c r="E7" s="4">
        <v>0.2</v>
      </c>
    </row>
    <row r="9" spans="1:5" x14ac:dyDescent="0.2">
      <c r="A9" s="5" t="s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baseColWidth="10" defaultColWidth="8.83203125" defaultRowHeight="15" x14ac:dyDescent="0.2"/>
  <cols>
    <col min="1" max="1" width="10" customWidth="1"/>
    <col min="2" max="2" width="12" customWidth="1"/>
    <col min="3" max="3" width="28" customWidth="1"/>
    <col min="4" max="4" width="7" customWidth="1"/>
    <col min="5" max="5" width="13" customWidth="1"/>
    <col min="6" max="6" width="14" customWidth="1"/>
    <col min="7" max="7" width="16" customWidth="1"/>
    <col min="8" max="8" width="18" customWidth="1"/>
  </cols>
  <sheetData>
    <row r="1" spans="1:8" x14ac:dyDescent="0.2">
      <c r="A1" s="1" t="s">
        <v>300</v>
      </c>
      <c r="B1" s="1" t="s">
        <v>2</v>
      </c>
      <c r="C1" s="1" t="s">
        <v>3</v>
      </c>
      <c r="D1" s="1" t="s">
        <v>4</v>
      </c>
      <c r="E1" s="1" t="s">
        <v>301</v>
      </c>
      <c r="F1" s="1" t="s">
        <v>9</v>
      </c>
      <c r="G1" s="1" t="s">
        <v>302</v>
      </c>
      <c r="H1" s="1" t="s">
        <v>303</v>
      </c>
    </row>
    <row r="2" spans="1:8" x14ac:dyDescent="0.2">
      <c r="A2" t="s">
        <v>304</v>
      </c>
      <c r="B2" t="s">
        <v>123</v>
      </c>
      <c r="C2" t="s">
        <v>124</v>
      </c>
      <c r="D2" t="s">
        <v>57</v>
      </c>
      <c r="E2" s="2">
        <v>46204</v>
      </c>
      <c r="F2" t="s">
        <v>305</v>
      </c>
      <c r="G2" s="3">
        <v>111000</v>
      </c>
      <c r="H2" t="s">
        <v>306</v>
      </c>
    </row>
    <row r="3" spans="1:8" x14ac:dyDescent="0.2">
      <c r="A3" t="s">
        <v>307</v>
      </c>
      <c r="B3" t="s">
        <v>123</v>
      </c>
      <c r="C3" t="s">
        <v>133</v>
      </c>
      <c r="D3" t="s">
        <v>48</v>
      </c>
      <c r="E3" s="2">
        <v>46174</v>
      </c>
      <c r="F3" t="s">
        <v>308</v>
      </c>
      <c r="G3" s="3">
        <v>168000</v>
      </c>
      <c r="H3" t="s">
        <v>306</v>
      </c>
    </row>
    <row r="4" spans="1:8" x14ac:dyDescent="0.2">
      <c r="A4" t="s">
        <v>309</v>
      </c>
      <c r="B4" t="s">
        <v>123</v>
      </c>
      <c r="C4" t="s">
        <v>124</v>
      </c>
      <c r="D4" t="s">
        <v>24</v>
      </c>
      <c r="E4" s="2">
        <v>46082</v>
      </c>
      <c r="F4" t="s">
        <v>310</v>
      </c>
      <c r="G4" s="3">
        <v>222000</v>
      </c>
      <c r="H4" t="s">
        <v>306</v>
      </c>
    </row>
    <row r="5" spans="1:8" x14ac:dyDescent="0.2">
      <c r="A5" t="s">
        <v>311</v>
      </c>
      <c r="B5" t="s">
        <v>123</v>
      </c>
      <c r="C5" t="s">
        <v>130</v>
      </c>
      <c r="D5" t="s">
        <v>57</v>
      </c>
      <c r="E5" s="2">
        <v>46327</v>
      </c>
      <c r="F5" t="s">
        <v>312</v>
      </c>
      <c r="G5" s="3">
        <v>145000</v>
      </c>
      <c r="H5" t="s">
        <v>306</v>
      </c>
    </row>
    <row r="6" spans="1:8" x14ac:dyDescent="0.2">
      <c r="A6" t="s">
        <v>313</v>
      </c>
      <c r="B6" t="s">
        <v>123</v>
      </c>
      <c r="C6" t="s">
        <v>133</v>
      </c>
      <c r="D6" t="s">
        <v>24</v>
      </c>
      <c r="E6" s="2">
        <v>46266</v>
      </c>
      <c r="F6" t="s">
        <v>312</v>
      </c>
      <c r="G6" s="3">
        <v>195000</v>
      </c>
      <c r="H6" t="s">
        <v>306</v>
      </c>
    </row>
    <row r="7" spans="1:8" x14ac:dyDescent="0.2">
      <c r="A7" t="s">
        <v>314</v>
      </c>
      <c r="B7" t="s">
        <v>219</v>
      </c>
      <c r="C7" t="s">
        <v>315</v>
      </c>
      <c r="D7" t="s">
        <v>57</v>
      </c>
      <c r="E7" s="2">
        <v>46204</v>
      </c>
      <c r="F7" t="s">
        <v>310</v>
      </c>
      <c r="G7" s="3">
        <v>155000</v>
      </c>
      <c r="H7" t="s">
        <v>316</v>
      </c>
    </row>
    <row r="8" spans="1:8" x14ac:dyDescent="0.2">
      <c r="A8" t="s">
        <v>317</v>
      </c>
      <c r="B8" t="s">
        <v>219</v>
      </c>
      <c r="C8" t="s">
        <v>223</v>
      </c>
      <c r="D8" t="s">
        <v>48</v>
      </c>
      <c r="E8" s="2">
        <v>46174</v>
      </c>
      <c r="F8" t="s">
        <v>310</v>
      </c>
      <c r="G8" s="3">
        <v>189000</v>
      </c>
      <c r="H8" t="s">
        <v>316</v>
      </c>
    </row>
    <row r="9" spans="1:8" x14ac:dyDescent="0.2">
      <c r="A9" t="s">
        <v>318</v>
      </c>
      <c r="B9" t="s">
        <v>178</v>
      </c>
      <c r="C9" t="s">
        <v>185</v>
      </c>
      <c r="D9" t="s">
        <v>24</v>
      </c>
      <c r="E9" s="2">
        <v>46327</v>
      </c>
      <c r="F9" t="s">
        <v>312</v>
      </c>
      <c r="G9" s="3">
        <v>241000</v>
      </c>
      <c r="H9" t="s">
        <v>319</v>
      </c>
    </row>
    <row r="10" spans="1:8" x14ac:dyDescent="0.2">
      <c r="A10" t="s">
        <v>320</v>
      </c>
      <c r="B10" t="s">
        <v>178</v>
      </c>
      <c r="C10" t="s">
        <v>192</v>
      </c>
      <c r="D10" t="s">
        <v>24</v>
      </c>
      <c r="E10" s="2">
        <v>46235</v>
      </c>
      <c r="F10" t="s">
        <v>310</v>
      </c>
      <c r="G10" s="3">
        <v>185000</v>
      </c>
      <c r="H10" t="s">
        <v>319</v>
      </c>
    </row>
    <row r="11" spans="1:8" x14ac:dyDescent="0.2">
      <c r="A11" t="s">
        <v>321</v>
      </c>
      <c r="B11" t="s">
        <v>178</v>
      </c>
      <c r="C11" t="s">
        <v>192</v>
      </c>
      <c r="D11" t="s">
        <v>48</v>
      </c>
      <c r="E11" s="2">
        <v>46054</v>
      </c>
      <c r="F11" t="s">
        <v>312</v>
      </c>
      <c r="G11" s="3">
        <v>190000</v>
      </c>
      <c r="H11" t="s">
        <v>319</v>
      </c>
    </row>
    <row r="12" spans="1:8" x14ac:dyDescent="0.2">
      <c r="A12" t="s">
        <v>322</v>
      </c>
      <c r="B12" t="s">
        <v>13</v>
      </c>
      <c r="C12" t="s">
        <v>14</v>
      </c>
      <c r="D12" t="s">
        <v>48</v>
      </c>
      <c r="E12" s="2">
        <v>46204</v>
      </c>
      <c r="F12" t="s">
        <v>323</v>
      </c>
      <c r="G12" s="3">
        <v>146000</v>
      </c>
      <c r="H12" t="s">
        <v>324</v>
      </c>
    </row>
    <row r="13" spans="1:8" x14ac:dyDescent="0.2">
      <c r="A13" t="s">
        <v>325</v>
      </c>
      <c r="B13" t="s">
        <v>13</v>
      </c>
      <c r="C13" t="s">
        <v>33</v>
      </c>
      <c r="D13" t="s">
        <v>57</v>
      </c>
      <c r="E13" s="2">
        <v>46235</v>
      </c>
      <c r="F13" t="s">
        <v>323</v>
      </c>
      <c r="G13" s="3">
        <v>139000</v>
      </c>
      <c r="H13" t="s">
        <v>324</v>
      </c>
    </row>
    <row r="14" spans="1:8" x14ac:dyDescent="0.2">
      <c r="A14" t="s">
        <v>326</v>
      </c>
      <c r="B14" t="s">
        <v>13</v>
      </c>
      <c r="C14" t="s">
        <v>33</v>
      </c>
      <c r="D14" t="s">
        <v>48</v>
      </c>
      <c r="E14" s="2">
        <v>46266</v>
      </c>
      <c r="F14" t="s">
        <v>323</v>
      </c>
      <c r="G14" s="3">
        <v>196000</v>
      </c>
      <c r="H14" t="s">
        <v>324</v>
      </c>
    </row>
    <row r="15" spans="1:8" x14ac:dyDescent="0.2">
      <c r="A15" t="s">
        <v>327</v>
      </c>
      <c r="B15" t="s">
        <v>13</v>
      </c>
      <c r="C15" t="s">
        <v>86</v>
      </c>
      <c r="D15" t="s">
        <v>57</v>
      </c>
      <c r="E15" s="2">
        <v>46204</v>
      </c>
      <c r="F15" t="s">
        <v>323</v>
      </c>
      <c r="G15" s="3">
        <v>122000</v>
      </c>
      <c r="H15" t="s">
        <v>324</v>
      </c>
    </row>
    <row r="16" spans="1:8" x14ac:dyDescent="0.2">
      <c r="A16" t="s">
        <v>328</v>
      </c>
      <c r="B16" t="s">
        <v>13</v>
      </c>
      <c r="C16" t="s">
        <v>86</v>
      </c>
      <c r="D16" t="s">
        <v>48</v>
      </c>
      <c r="E16" s="2">
        <v>46235</v>
      </c>
      <c r="F16" t="s">
        <v>323</v>
      </c>
      <c r="G16" s="3">
        <v>161000</v>
      </c>
      <c r="H16" t="s">
        <v>324</v>
      </c>
    </row>
    <row r="17" spans="1:8" x14ac:dyDescent="0.2">
      <c r="A17" t="s">
        <v>329</v>
      </c>
      <c r="B17" t="s">
        <v>13</v>
      </c>
      <c r="C17" t="s">
        <v>33</v>
      </c>
      <c r="D17" t="s">
        <v>57</v>
      </c>
      <c r="E17" s="2">
        <v>46266</v>
      </c>
      <c r="F17" t="s">
        <v>323</v>
      </c>
      <c r="G17" s="3">
        <v>139000</v>
      </c>
      <c r="H17" t="s">
        <v>324</v>
      </c>
    </row>
    <row r="18" spans="1:8" x14ac:dyDescent="0.2">
      <c r="A18" t="s">
        <v>329</v>
      </c>
      <c r="B18" t="s">
        <v>13</v>
      </c>
      <c r="C18" t="s">
        <v>20</v>
      </c>
      <c r="D18" t="s">
        <v>24</v>
      </c>
      <c r="E18" s="2">
        <v>46082</v>
      </c>
      <c r="F18" t="s">
        <v>310</v>
      </c>
      <c r="G18" s="3">
        <v>181000</v>
      </c>
      <c r="H18" t="s">
        <v>324</v>
      </c>
    </row>
    <row r="19" spans="1:8" x14ac:dyDescent="0.2">
      <c r="A19" t="s">
        <v>330</v>
      </c>
      <c r="B19" t="s">
        <v>13</v>
      </c>
      <c r="C19" t="s">
        <v>14</v>
      </c>
      <c r="D19" t="s">
        <v>57</v>
      </c>
      <c r="E19" s="2">
        <v>46113</v>
      </c>
      <c r="F19" t="s">
        <v>308</v>
      </c>
      <c r="G19" s="3">
        <v>113000</v>
      </c>
      <c r="H19" t="s">
        <v>324</v>
      </c>
    </row>
    <row r="20" spans="1:8" x14ac:dyDescent="0.2">
      <c r="A20" t="s">
        <v>331</v>
      </c>
      <c r="B20" t="s">
        <v>13</v>
      </c>
      <c r="C20" t="s">
        <v>43</v>
      </c>
      <c r="D20" t="s">
        <v>57</v>
      </c>
      <c r="E20" s="2">
        <v>46054</v>
      </c>
      <c r="F20" t="s">
        <v>308</v>
      </c>
      <c r="G20" s="3">
        <v>127000</v>
      </c>
      <c r="H20" t="s">
        <v>324</v>
      </c>
    </row>
    <row r="21" spans="1:8" x14ac:dyDescent="0.2">
      <c r="A21" t="s">
        <v>332</v>
      </c>
      <c r="B21" t="s">
        <v>13</v>
      </c>
      <c r="C21" t="s">
        <v>43</v>
      </c>
      <c r="D21" t="s">
        <v>57</v>
      </c>
      <c r="E21" s="2">
        <v>46296</v>
      </c>
      <c r="F21" t="s">
        <v>312</v>
      </c>
      <c r="G21" s="3">
        <v>131000</v>
      </c>
      <c r="H21" t="s">
        <v>324</v>
      </c>
    </row>
    <row r="22" spans="1:8" x14ac:dyDescent="0.2">
      <c r="A22" t="s">
        <v>333</v>
      </c>
      <c r="B22" t="s">
        <v>13</v>
      </c>
      <c r="C22" t="s">
        <v>14</v>
      </c>
      <c r="D22" t="s">
        <v>57</v>
      </c>
      <c r="E22" s="2">
        <v>46113</v>
      </c>
      <c r="F22" t="s">
        <v>310</v>
      </c>
      <c r="G22" s="3">
        <v>148000</v>
      </c>
      <c r="H22" t="s">
        <v>324</v>
      </c>
    </row>
    <row r="23" spans="1:8" x14ac:dyDescent="0.2">
      <c r="A23" t="s">
        <v>334</v>
      </c>
      <c r="B23" t="s">
        <v>13</v>
      </c>
      <c r="C23" t="s">
        <v>43</v>
      </c>
      <c r="D23" t="s">
        <v>57</v>
      </c>
      <c r="E23" s="2">
        <v>46143</v>
      </c>
      <c r="F23" t="s">
        <v>310</v>
      </c>
      <c r="G23" s="3">
        <v>136000</v>
      </c>
      <c r="H23" t="s">
        <v>324</v>
      </c>
    </row>
    <row r="24" spans="1:8" x14ac:dyDescent="0.2">
      <c r="A24" t="s">
        <v>335</v>
      </c>
      <c r="B24" t="s">
        <v>13</v>
      </c>
      <c r="C24" t="s">
        <v>28</v>
      </c>
      <c r="D24" t="s">
        <v>48</v>
      </c>
      <c r="E24" s="2">
        <v>46143</v>
      </c>
      <c r="F24" t="s">
        <v>310</v>
      </c>
      <c r="G24" s="3">
        <v>196000</v>
      </c>
      <c r="H24" t="s">
        <v>324</v>
      </c>
    </row>
    <row r="25" spans="1:8" x14ac:dyDescent="0.2">
      <c r="A25" t="s">
        <v>336</v>
      </c>
      <c r="B25" t="s">
        <v>13</v>
      </c>
      <c r="C25" t="s">
        <v>14</v>
      </c>
      <c r="D25" t="s">
        <v>24</v>
      </c>
      <c r="E25" s="2">
        <v>46327</v>
      </c>
      <c r="F25" t="s">
        <v>312</v>
      </c>
      <c r="G25" s="3">
        <v>217000</v>
      </c>
      <c r="H25" t="s">
        <v>324</v>
      </c>
    </row>
    <row r="26" spans="1:8" x14ac:dyDescent="0.2">
      <c r="A26" t="s">
        <v>337</v>
      </c>
      <c r="B26" t="s">
        <v>247</v>
      </c>
      <c r="C26" t="s">
        <v>248</v>
      </c>
      <c r="D26" t="s">
        <v>57</v>
      </c>
      <c r="E26" s="2">
        <v>46327</v>
      </c>
      <c r="F26" t="s">
        <v>312</v>
      </c>
      <c r="G26" s="3">
        <v>139000</v>
      </c>
      <c r="H26" t="s">
        <v>338</v>
      </c>
    </row>
    <row r="27" spans="1:8" x14ac:dyDescent="0.2">
      <c r="A27" t="s">
        <v>339</v>
      </c>
      <c r="B27" t="s">
        <v>247</v>
      </c>
      <c r="C27" t="s">
        <v>254</v>
      </c>
      <c r="D27" t="s">
        <v>24</v>
      </c>
      <c r="E27" s="2">
        <v>46296</v>
      </c>
      <c r="F27" t="s">
        <v>312</v>
      </c>
      <c r="G27" s="3">
        <v>244000</v>
      </c>
      <c r="H27" t="s">
        <v>338</v>
      </c>
    </row>
    <row r="28" spans="1:8" x14ac:dyDescent="0.2">
      <c r="A28" t="s">
        <v>340</v>
      </c>
      <c r="B28" t="s">
        <v>267</v>
      </c>
      <c r="C28" t="s">
        <v>268</v>
      </c>
      <c r="D28" t="s">
        <v>48</v>
      </c>
      <c r="E28" s="2">
        <v>46235</v>
      </c>
      <c r="F28" t="s">
        <v>310</v>
      </c>
      <c r="G28" s="3">
        <v>186000</v>
      </c>
      <c r="H28" t="s">
        <v>341</v>
      </c>
    </row>
    <row r="29" spans="1:8" x14ac:dyDescent="0.2">
      <c r="A29" t="s">
        <v>342</v>
      </c>
      <c r="B29" t="s">
        <v>267</v>
      </c>
      <c r="C29" t="s">
        <v>343</v>
      </c>
      <c r="D29" t="s">
        <v>24</v>
      </c>
      <c r="E29" s="2">
        <v>46143</v>
      </c>
      <c r="F29" t="s">
        <v>310</v>
      </c>
      <c r="G29" s="3">
        <v>192000</v>
      </c>
      <c r="H29" t="s">
        <v>341</v>
      </c>
    </row>
    <row r="30" spans="1:8" x14ac:dyDescent="0.2">
      <c r="A30" t="s">
        <v>344</v>
      </c>
      <c r="B30" t="s">
        <v>267</v>
      </c>
      <c r="C30" t="s">
        <v>271</v>
      </c>
      <c r="D30" t="s">
        <v>57</v>
      </c>
      <c r="E30" s="2">
        <v>46082</v>
      </c>
      <c r="F30" t="s">
        <v>305</v>
      </c>
      <c r="G30" s="3">
        <v>143000</v>
      </c>
      <c r="H30" t="s">
        <v>341</v>
      </c>
    </row>
    <row r="31" spans="1:8" x14ac:dyDescent="0.2">
      <c r="A31" t="s">
        <v>345</v>
      </c>
      <c r="B31" t="s">
        <v>267</v>
      </c>
      <c r="C31" t="s">
        <v>343</v>
      </c>
      <c r="D31" t="s">
        <v>48</v>
      </c>
      <c r="E31" s="2">
        <v>46296</v>
      </c>
      <c r="F31" t="s">
        <v>312</v>
      </c>
      <c r="G31" s="3">
        <v>194000</v>
      </c>
      <c r="H31" t="s">
        <v>341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/>
  </sheetViews>
  <sheetFormatPr baseColWidth="10" defaultColWidth="8.83203125" defaultRowHeight="15" x14ac:dyDescent="0.2"/>
  <cols>
    <col min="1" max="1" width="12" customWidth="1"/>
    <col min="2" max="2" width="13" customWidth="1"/>
    <col min="3" max="3" width="8" customWidth="1"/>
    <col min="4" max="4" width="9" customWidth="1"/>
    <col min="5" max="5" width="10" customWidth="1"/>
    <col min="6" max="6" width="17" customWidth="1"/>
    <col min="7" max="7" width="15" customWidth="1"/>
    <col min="8" max="8" width="18" customWidth="1"/>
    <col min="9" max="9" width="13" customWidth="1"/>
  </cols>
  <sheetData>
    <row r="1" spans="1:9" ht="19" x14ac:dyDescent="0.25">
      <c r="A1" s="13" t="s">
        <v>346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6" t="s">
        <v>347</v>
      </c>
      <c r="B2" s="7">
        <v>0.22</v>
      </c>
    </row>
    <row r="3" spans="1:9" x14ac:dyDescent="0.2">
      <c r="A3" s="6" t="s">
        <v>348</v>
      </c>
      <c r="B3" s="7">
        <v>0.25</v>
      </c>
    </row>
    <row r="5" spans="1:9" x14ac:dyDescent="0.2">
      <c r="A5" s="1" t="s">
        <v>349</v>
      </c>
      <c r="B5" s="1" t="s">
        <v>350</v>
      </c>
      <c r="C5" s="1" t="s">
        <v>351</v>
      </c>
      <c r="D5" s="1" t="s">
        <v>352</v>
      </c>
      <c r="E5" s="1" t="s">
        <v>353</v>
      </c>
      <c r="F5" s="1" t="s">
        <v>354</v>
      </c>
      <c r="G5" s="1" t="s">
        <v>355</v>
      </c>
      <c r="H5" s="1" t="s">
        <v>356</v>
      </c>
      <c r="I5" s="1" t="s">
        <v>357</v>
      </c>
    </row>
    <row r="6" spans="1:9" x14ac:dyDescent="0.2">
      <c r="A6" s="8">
        <v>46023</v>
      </c>
      <c r="B6" s="9">
        <v>104</v>
      </c>
      <c r="C6">
        <f>COUNTIFS('Hiring Plan'!$E:$E,"&gt;="&amp;A6,'Hiring Plan'!$E:$E,"&lt;="&amp;EOMONTH(A6,0),'Hiring Plan'!$F:$F,"Hired")</f>
        <v>0</v>
      </c>
      <c r="D6" s="9">
        <v>1</v>
      </c>
      <c r="E6">
        <f t="shared" ref="E6:E17" si="0">B6+C6-D6</f>
        <v>103</v>
      </c>
      <c r="F6" s="3">
        <f>SUMIFS(Roster!$H:$H,Roster!$G:$G,"&lt;="&amp;EOMONTH(A6,0),Roster!$J:$J,"Active")/12</f>
        <v>1524250</v>
      </c>
      <c r="G6" s="3">
        <f t="shared" ref="G6:G14" si="1">F6*(1+$B$2)</f>
        <v>1859585</v>
      </c>
      <c r="H6" s="10">
        <v>2221209</v>
      </c>
      <c r="I6" s="3">
        <f t="shared" ref="I6:I17" si="2">G6-H6</f>
        <v>-361624</v>
      </c>
    </row>
    <row r="7" spans="1:9" x14ac:dyDescent="0.2">
      <c r="A7" s="8">
        <v>46054</v>
      </c>
      <c r="B7">
        <f t="shared" ref="B7:B17" si="3">E6</f>
        <v>103</v>
      </c>
      <c r="C7">
        <f>COUNTIFS('Hiring Plan'!$E:$E,"&gt;="&amp;A7,'Hiring Plan'!$E:$E,"&lt;="&amp;EOMONTH(A7,0),'Hiring Plan'!$F:$F,"Hired")</f>
        <v>0</v>
      </c>
      <c r="D7" s="9">
        <v>2</v>
      </c>
      <c r="E7">
        <f t="shared" si="0"/>
        <v>101</v>
      </c>
      <c r="F7" s="3">
        <f>SUMIFS(Roster!$H:$H,Roster!$G:$G,"&lt;="&amp;EOMONTH(A7,0),Roster!$J:$J,"Active")/12</f>
        <v>1547500</v>
      </c>
      <c r="G7" s="3">
        <f t="shared" si="1"/>
        <v>1887950</v>
      </c>
      <c r="H7" s="10">
        <v>2245696</v>
      </c>
      <c r="I7" s="3">
        <f t="shared" si="2"/>
        <v>-357746</v>
      </c>
    </row>
    <row r="8" spans="1:9" x14ac:dyDescent="0.2">
      <c r="A8" s="8">
        <v>46082</v>
      </c>
      <c r="B8">
        <f t="shared" si="3"/>
        <v>101</v>
      </c>
      <c r="C8">
        <f>COUNTIFS('Hiring Plan'!$E:$E,"&gt;="&amp;A8,'Hiring Plan'!$E:$E,"&lt;="&amp;EOMONTH(A8,0),'Hiring Plan'!$F:$F,"Hired")</f>
        <v>2</v>
      </c>
      <c r="D8" s="9">
        <v>1</v>
      </c>
      <c r="E8">
        <f t="shared" si="0"/>
        <v>102</v>
      </c>
      <c r="F8" s="3">
        <f>SUMIFS(Roster!$H:$H,Roster!$G:$G,"&lt;="&amp;EOMONTH(A8,0),Roster!$J:$J,"Active")/12</f>
        <v>1585583.3333333333</v>
      </c>
      <c r="G8" s="3">
        <f t="shared" si="1"/>
        <v>1934411.6666666665</v>
      </c>
      <c r="H8" s="10">
        <v>2231923</v>
      </c>
      <c r="I8" s="3">
        <f t="shared" si="2"/>
        <v>-297511.33333333349</v>
      </c>
    </row>
    <row r="9" spans="1:9" x14ac:dyDescent="0.2">
      <c r="A9" s="8">
        <v>46113</v>
      </c>
      <c r="B9">
        <f t="shared" si="3"/>
        <v>102</v>
      </c>
      <c r="C9">
        <f>COUNTIFS('Hiring Plan'!$E:$E,"&gt;="&amp;A9,'Hiring Plan'!$E:$E,"&lt;="&amp;EOMONTH(A9,0),'Hiring Plan'!$F:$F,"Hired")</f>
        <v>1</v>
      </c>
      <c r="D9" s="9">
        <v>0</v>
      </c>
      <c r="E9">
        <f t="shared" si="0"/>
        <v>103</v>
      </c>
      <c r="F9" s="3">
        <f>SUMIFS(Roster!$H:$H,Roster!$G:$G,"&lt;="&amp;EOMONTH(A9,0),Roster!$J:$J,"Active")/12</f>
        <v>1608250</v>
      </c>
      <c r="G9" s="3">
        <f t="shared" si="1"/>
        <v>1962065</v>
      </c>
      <c r="H9" s="10">
        <v>2271520</v>
      </c>
      <c r="I9" s="3">
        <f t="shared" si="2"/>
        <v>-309455</v>
      </c>
    </row>
    <row r="10" spans="1:9" x14ac:dyDescent="0.2">
      <c r="A10" s="8">
        <v>46143</v>
      </c>
      <c r="B10">
        <f t="shared" si="3"/>
        <v>103</v>
      </c>
      <c r="C10">
        <f>COUNTIFS('Hiring Plan'!$E:$E,"&gt;="&amp;A10,'Hiring Plan'!$E:$E,"&lt;="&amp;EOMONTH(A10,0),'Hiring Plan'!$F:$F,"Hired")</f>
        <v>3</v>
      </c>
      <c r="D10" s="9">
        <v>2</v>
      </c>
      <c r="E10">
        <f t="shared" si="0"/>
        <v>104</v>
      </c>
      <c r="F10" s="3">
        <f>SUMIFS(Roster!$H:$H,Roster!$G:$G,"&lt;="&amp;EOMONTH(A10,0),Roster!$J:$J,"Active")/12</f>
        <v>1632833.3333333333</v>
      </c>
      <c r="G10" s="3">
        <f t="shared" si="1"/>
        <v>1992056.6666666665</v>
      </c>
      <c r="H10" s="10">
        <v>2336048</v>
      </c>
      <c r="I10" s="3">
        <f t="shared" si="2"/>
        <v>-343991.33333333349</v>
      </c>
    </row>
    <row r="11" spans="1:9" x14ac:dyDescent="0.2">
      <c r="A11" s="8">
        <v>46174</v>
      </c>
      <c r="B11">
        <f t="shared" si="3"/>
        <v>104</v>
      </c>
      <c r="C11">
        <f>COUNTIFS('Hiring Plan'!$E:$E,"&gt;="&amp;A11,'Hiring Plan'!$E:$E,"&lt;="&amp;EOMONTH(A11,0),'Hiring Plan'!$F:$F,"Hired")</f>
        <v>1</v>
      </c>
      <c r="D11" s="9">
        <v>1</v>
      </c>
      <c r="E11">
        <f t="shared" si="0"/>
        <v>104</v>
      </c>
      <c r="F11" s="3">
        <f>SUMIFS(Roster!$H:$H,Roster!$G:$G,"&lt;="&amp;EOMONTH(A11,0),Roster!$J:$J,"Active")/12</f>
        <v>1710583.3333333333</v>
      </c>
      <c r="G11" s="3">
        <f t="shared" si="1"/>
        <v>2086911.6666666665</v>
      </c>
      <c r="H11" s="10">
        <v>2285103</v>
      </c>
      <c r="I11" s="3">
        <f t="shared" si="2"/>
        <v>-198191.33333333349</v>
      </c>
    </row>
    <row r="12" spans="1:9" x14ac:dyDescent="0.2">
      <c r="A12" s="8">
        <v>46204</v>
      </c>
      <c r="B12">
        <f t="shared" si="3"/>
        <v>104</v>
      </c>
      <c r="C12">
        <f>COUNTIFS('Hiring Plan'!$E:$E,"&gt;="&amp;A12,'Hiring Plan'!$E:$E,"&lt;="&amp;EOMONTH(A12,0),'Hiring Plan'!$F:$F,"Hired")</f>
        <v>1</v>
      </c>
      <c r="D12" s="9">
        <v>3</v>
      </c>
      <c r="E12">
        <f t="shared" si="0"/>
        <v>102</v>
      </c>
      <c r="F12" s="3">
        <f>SUMIFS(Roster!$H:$H,Roster!$G:$G,"&lt;="&amp;EOMONTH(A12,0),Roster!$J:$J,"Active")/12</f>
        <v>1710583.3333333333</v>
      </c>
      <c r="G12" s="3">
        <f t="shared" si="1"/>
        <v>2086911.6666666665</v>
      </c>
      <c r="H12" s="10">
        <v>2358240</v>
      </c>
      <c r="I12" s="3">
        <f t="shared" si="2"/>
        <v>-271328.33333333349</v>
      </c>
    </row>
    <row r="13" spans="1:9" x14ac:dyDescent="0.2">
      <c r="A13" s="8">
        <v>46235</v>
      </c>
      <c r="B13">
        <f t="shared" si="3"/>
        <v>102</v>
      </c>
      <c r="C13">
        <f>COUNTIFS('Hiring Plan'!$E:$E,"&gt;="&amp;A13,'Hiring Plan'!$E:$E,"&lt;="&amp;EOMONTH(A13,0),'Hiring Plan'!$F:$F,"Hired")</f>
        <v>2</v>
      </c>
      <c r="D13" s="9">
        <v>1</v>
      </c>
      <c r="E13">
        <f t="shared" si="0"/>
        <v>103</v>
      </c>
      <c r="F13" s="3">
        <f>SUMIFS(Roster!$H:$H,Roster!$G:$G,"&lt;="&amp;EOMONTH(A13,0),Roster!$J:$J,"Active")/12</f>
        <v>1710583.3333333333</v>
      </c>
      <c r="G13" s="3">
        <f t="shared" si="1"/>
        <v>2086911.6666666665</v>
      </c>
      <c r="H13" s="10">
        <v>2403183</v>
      </c>
      <c r="I13" s="3">
        <f t="shared" si="2"/>
        <v>-316271.33333333349</v>
      </c>
    </row>
    <row r="14" spans="1:9" x14ac:dyDescent="0.2">
      <c r="A14" s="8">
        <v>46266</v>
      </c>
      <c r="B14">
        <f t="shared" si="3"/>
        <v>103</v>
      </c>
      <c r="C14">
        <f>COUNTIFS('Hiring Plan'!$E:$E,"&gt;="&amp;A14,'Hiring Plan'!$E:$E,"&lt;="&amp;EOMONTH(A14,0),'Hiring Plan'!$F:$F,"Hired")</f>
        <v>0</v>
      </c>
      <c r="D14" s="9">
        <v>2</v>
      </c>
      <c r="E14">
        <f t="shared" si="0"/>
        <v>101</v>
      </c>
      <c r="F14" s="3">
        <f>SUMIFS(Roster!$H:$H,Roster!$G:$G,"&lt;="&amp;EOMONTH(A14,0),Roster!$J:$J,"Active")/12</f>
        <v>1710583.3333333333</v>
      </c>
      <c r="G14" s="3">
        <f t="shared" si="1"/>
        <v>2086911.6666666665</v>
      </c>
      <c r="H14" s="10">
        <v>2394511</v>
      </c>
      <c r="I14" s="3">
        <f t="shared" si="2"/>
        <v>-307599.33333333349</v>
      </c>
    </row>
    <row r="15" spans="1:9" x14ac:dyDescent="0.2">
      <c r="A15" s="8">
        <v>46296</v>
      </c>
      <c r="B15">
        <f t="shared" si="3"/>
        <v>101</v>
      </c>
      <c r="C15">
        <f>COUNTIFS('Hiring Plan'!$E:$E,"&gt;="&amp;A15,'Hiring Plan'!$E:$E,"&lt;="&amp;EOMONTH(A15,0),'Hiring Plan'!$F:$F,"Hired")</f>
        <v>0</v>
      </c>
      <c r="D15" s="9">
        <v>1</v>
      </c>
      <c r="E15">
        <f t="shared" si="0"/>
        <v>100</v>
      </c>
      <c r="F15" s="3">
        <f>SUMIFS(Roster!$H:$H,Roster!$G:$G,"&lt;="&amp;EOMONTH(A15,0),Roster!$J:$J,"Active")/12</f>
        <v>1710583.3333333333</v>
      </c>
      <c r="G15" s="3">
        <f>F15*(1+$B$3)</f>
        <v>2138229.1666666665</v>
      </c>
      <c r="H15" s="10">
        <v>2433961</v>
      </c>
      <c r="I15" s="3">
        <f t="shared" si="2"/>
        <v>-295731.83333333349</v>
      </c>
    </row>
    <row r="16" spans="1:9" x14ac:dyDescent="0.2">
      <c r="A16" s="8">
        <v>46327</v>
      </c>
      <c r="B16">
        <f t="shared" si="3"/>
        <v>100</v>
      </c>
      <c r="C16">
        <f>COUNTIFS('Hiring Plan'!$E:$E,"&gt;="&amp;A16,'Hiring Plan'!$E:$E,"&lt;="&amp;EOMONTH(A16,0),'Hiring Plan'!$F:$F,"Hired")</f>
        <v>0</v>
      </c>
      <c r="D16" s="9">
        <v>1</v>
      </c>
      <c r="E16">
        <f t="shared" si="0"/>
        <v>99</v>
      </c>
      <c r="F16" s="3">
        <f>SUMIFS(Roster!$H:$H,Roster!$G:$G,"&lt;="&amp;EOMONTH(A16,0),Roster!$J:$J,"Active")/12</f>
        <v>1710583.3333333333</v>
      </c>
      <c r="G16" s="3">
        <f>F16*(1+$B$3)</f>
        <v>2138229.1666666665</v>
      </c>
      <c r="H16" s="10">
        <v>2463234</v>
      </c>
      <c r="I16" s="3">
        <f t="shared" si="2"/>
        <v>-325004.83333333349</v>
      </c>
    </row>
    <row r="17" spans="1:9" x14ac:dyDescent="0.2">
      <c r="A17" s="8">
        <v>46357</v>
      </c>
      <c r="B17">
        <f t="shared" si="3"/>
        <v>99</v>
      </c>
      <c r="C17">
        <f>COUNTIFS('Hiring Plan'!$E:$E,"&gt;="&amp;A17,'Hiring Plan'!$E:$E,"&lt;="&amp;EOMONTH(A17,0),'Hiring Plan'!$F:$F,"Hired")</f>
        <v>0</v>
      </c>
      <c r="D17" s="9">
        <v>1</v>
      </c>
      <c r="E17">
        <f t="shared" si="0"/>
        <v>98</v>
      </c>
      <c r="F17" s="3">
        <f>SUMIFS(Roster!$H:$H,Roster!$G:$G,"&lt;="&amp;EOMONTH(A17,0),Roster!$J:$J,"Active")/12</f>
        <v>1710583.3333333333</v>
      </c>
      <c r="G17" s="3">
        <f>F17*(1+$B$3)</f>
        <v>2138229.1666666665</v>
      </c>
      <c r="H17" s="10">
        <v>2467991</v>
      </c>
      <c r="I17" s="3">
        <f t="shared" si="2"/>
        <v>-329761.83333333349</v>
      </c>
    </row>
    <row r="18" spans="1:9" x14ac:dyDescent="0.2">
      <c r="A18" s="6" t="s">
        <v>358</v>
      </c>
      <c r="C18" s="11">
        <f>SUM(C6:C17)</f>
        <v>10</v>
      </c>
      <c r="D18" s="11">
        <f>SUM(D6:D17)</f>
        <v>16</v>
      </c>
      <c r="F18" s="12">
        <f>SUM(F6:F17)</f>
        <v>19872500</v>
      </c>
      <c r="G18" s="12">
        <f>SUM(G6:G17)</f>
        <v>24398402.5</v>
      </c>
      <c r="H18" s="12">
        <f>SUM(H6:H17)</f>
        <v>28112619</v>
      </c>
      <c r="I18" s="12">
        <f>SUM(I6:I17)</f>
        <v>-3714216.5000000014</v>
      </c>
    </row>
    <row r="20" spans="1:9" x14ac:dyDescent="0.2">
      <c r="A20" s="6" t="s">
        <v>359</v>
      </c>
    </row>
    <row r="21" spans="1:9" x14ac:dyDescent="0.2">
      <c r="A21" t="s">
        <v>360</v>
      </c>
    </row>
    <row r="22" spans="1:9" x14ac:dyDescent="0.2">
      <c r="A22" t="s">
        <v>361</v>
      </c>
    </row>
    <row r="23" spans="1:9" x14ac:dyDescent="0.2">
      <c r="A23" t="s">
        <v>362</v>
      </c>
    </row>
    <row r="24" spans="1:9" x14ac:dyDescent="0.2">
      <c r="A24" t="s">
        <v>363</v>
      </c>
    </row>
  </sheetData>
  <mergeCells count="1">
    <mergeCell ref="A1:I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Roster</vt:lpstr>
      <vt:lpstr>Comp Bands</vt:lpstr>
      <vt:lpstr>Hiring Plan</vt:lpstr>
      <vt:lpstr>HC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Tam</cp:lastModifiedBy>
  <dcterms:created xsi:type="dcterms:W3CDTF">2026-10-12T18:19:58Z</dcterms:created>
  <dcterms:modified xsi:type="dcterms:W3CDTF">2026-10-12T18:20:02Z</dcterms:modified>
</cp:coreProperties>
</file>