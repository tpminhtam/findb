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anuar/Library/Containers/com.microsoft.Excel/Data/tmp/finance_brain/"/>
    </mc:Choice>
  </mc:AlternateContent>
  <xr:revisionPtr revIDLastSave="0" documentId="11_C5EE896D86ED46E006C39F3A305984712F20CF57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Customers" sheetId="1" r:id="rId1"/>
    <sheet name="ARR Bridge" sheetId="2" r:id="rId2"/>
    <sheet name="KPI Summary" sheetId="3" r:id="rId3"/>
    <sheet name="Cohorts" sheetId="4" r:id="rId4"/>
    <sheet name="Definition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3" l="1"/>
  <c r="B25" i="3"/>
  <c r="D25" i="3" s="1"/>
  <c r="C24" i="3"/>
  <c r="B24" i="3"/>
  <c r="D24" i="3" s="1"/>
  <c r="C23" i="3"/>
  <c r="C26" i="3" s="1"/>
  <c r="B23" i="3"/>
  <c r="B13" i="3"/>
  <c r="B9" i="3"/>
  <c r="F12" i="2"/>
  <c r="C12" i="2"/>
  <c r="F11" i="2"/>
  <c r="C11" i="2"/>
  <c r="F10" i="2"/>
  <c r="C10" i="2"/>
  <c r="F9" i="2"/>
  <c r="C9" i="2"/>
  <c r="F8" i="2"/>
  <c r="C8" i="2"/>
  <c r="F7" i="2"/>
  <c r="C7" i="2"/>
  <c r="F6" i="2"/>
  <c r="C6" i="2"/>
  <c r="F5" i="2"/>
  <c r="C5" i="2"/>
  <c r="F4" i="2"/>
  <c r="B14" i="2" s="1"/>
  <c r="B11" i="3" s="1"/>
  <c r="C4" i="2"/>
  <c r="G4" i="2" s="1"/>
  <c r="B26" i="3" l="1"/>
  <c r="D26" i="3" s="1"/>
  <c r="D23" i="3"/>
  <c r="H4" i="2"/>
  <c r="B5" i="2"/>
  <c r="G5" i="2" s="1"/>
  <c r="H5" i="2" l="1"/>
  <c r="B6" i="2"/>
  <c r="G6" i="2" s="1"/>
  <c r="H6" i="2" l="1"/>
  <c r="B7" i="2"/>
  <c r="G7" i="2" s="1"/>
  <c r="H7" i="2" l="1"/>
  <c r="B8" i="2"/>
  <c r="G8" i="2" s="1"/>
  <c r="H8" i="2" l="1"/>
  <c r="B9" i="2"/>
  <c r="G9" i="2" s="1"/>
  <c r="H9" i="2" l="1"/>
  <c r="B10" i="2"/>
  <c r="G10" i="2" s="1"/>
  <c r="H10" i="2" l="1"/>
  <c r="B11" i="2"/>
  <c r="G11" i="2" s="1"/>
  <c r="H11" i="2" l="1"/>
  <c r="B12" i="2"/>
  <c r="G12" i="2" s="1"/>
  <c r="H12" i="2" l="1"/>
  <c r="B10" i="3" s="1"/>
  <c r="B18" i="3" s="1"/>
  <c r="B4" i="3"/>
  <c r="B5" i="3" l="1"/>
  <c r="B14" i="3"/>
  <c r="B16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RevOps</author>
  </authors>
  <commentList>
    <comment ref="H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Contracted ARR at the latest renewal, from the billing system export 2026-09-30. Expansion since renewal is in the ARR Bridge, not here.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RevOps</author>
  </authors>
  <commentList>
    <comment ref="D3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Expansion and contraction come from the billing system upsell report, pasted monthly by RevOps. Not derivable from the Customers tab.</t>
        </r>
      </text>
    </comment>
    <comment ref="B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Dec-25 ending ARR per the FY25 Q4 board pack. Typed, not linked.</t>
        </r>
      </text>
    </comment>
    <comment ref="B1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Simplified: (beginning ARR + expansion + contraction + churn) / beginning ARR, YTD not trailing twelve months. The Definitions tab says TTM; this cell does not do that yet.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Maya Chen</author>
    <author>Grace Park</author>
  </authors>
  <commentList>
    <comment ref="B6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Pasted from the BvA Summary tab Jul to Sep actual revenue before the September EU rows were appended there. Will not tie to the current BvA file.</t>
        </r>
      </text>
    </comment>
    <comment ref="B9" authorId="1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Investor convention: includes Customer Success cost. FP&amp;A BvA gross margin excludes it. Both are correct; label them.</t>
        </r>
      </text>
    </comment>
  </commentList>
</comments>
</file>

<file path=xl/sharedStrings.xml><?xml version="1.0" encoding="utf-8"?>
<sst xmlns="http://schemas.openxmlformats.org/spreadsheetml/2006/main" count="1133" uniqueCount="519">
  <si>
    <t>Customer ID</t>
  </si>
  <si>
    <t>Customer</t>
  </si>
  <si>
    <t>Segment</t>
  </si>
  <si>
    <t>Region</t>
  </si>
  <si>
    <t>Product</t>
  </si>
  <si>
    <t>Start date</t>
  </si>
  <si>
    <t>Churn date</t>
  </si>
  <si>
    <t>ARR (USD)</t>
  </si>
  <si>
    <t>C0001</t>
  </si>
  <si>
    <t>Saffron Retail 1</t>
  </si>
  <si>
    <t>SMB</t>
  </si>
  <si>
    <t>NA</t>
  </si>
  <si>
    <t>Core + Analytics</t>
  </si>
  <si>
    <t>C0002</t>
  </si>
  <si>
    <t>Ember Financial 2</t>
  </si>
  <si>
    <t>C0003</t>
  </si>
  <si>
    <t>Beacon Systems 3</t>
  </si>
  <si>
    <t>C0004</t>
  </si>
  <si>
    <t>Quarry Systems 4</t>
  </si>
  <si>
    <t>Core</t>
  </si>
  <si>
    <t>C0005</t>
  </si>
  <si>
    <t>Beacon Retail 5</t>
  </si>
  <si>
    <t>C0006</t>
  </si>
  <si>
    <t>Orchard Logistics 6</t>
  </si>
  <si>
    <t>C0007</t>
  </si>
  <si>
    <t>Juniper Mobility 7</t>
  </si>
  <si>
    <t>EMEA</t>
  </si>
  <si>
    <t>C0008</t>
  </si>
  <si>
    <t>Cinder Labs 8</t>
  </si>
  <si>
    <t>C0009</t>
  </si>
  <si>
    <t>Tidal Mobility 9</t>
  </si>
  <si>
    <t>C0010</t>
  </si>
  <si>
    <t>Juniper Financial 10</t>
  </si>
  <si>
    <t>C0011</t>
  </si>
  <si>
    <t>Northwind Retail 11</t>
  </si>
  <si>
    <t>C0012</t>
  </si>
  <si>
    <t>Bluefin Energy 12</t>
  </si>
  <si>
    <t>C0013</t>
  </si>
  <si>
    <t>Quarry Systems 13</t>
  </si>
  <si>
    <t>C0014</t>
  </si>
  <si>
    <t>Zenith Retail 14</t>
  </si>
  <si>
    <t>C0015</t>
  </si>
  <si>
    <t>Northwind Systems 15</t>
  </si>
  <si>
    <t>C0016</t>
  </si>
  <si>
    <t>Juniper Mobility 16</t>
  </si>
  <si>
    <t>C0017</t>
  </si>
  <si>
    <t>Granite Health 17</t>
  </si>
  <si>
    <t>C0018</t>
  </si>
  <si>
    <t>Quarry Mobility 18</t>
  </si>
  <si>
    <t>C0019</t>
  </si>
  <si>
    <t>Marlin Labs 19</t>
  </si>
  <si>
    <t>C0020</t>
  </si>
  <si>
    <t>Willow Health 20</t>
  </si>
  <si>
    <t>C0021</t>
  </si>
  <si>
    <t>Lantern Labs 21</t>
  </si>
  <si>
    <t>C0022</t>
  </si>
  <si>
    <t>Marlin Retail 22</t>
  </si>
  <si>
    <t>C0023</t>
  </si>
  <si>
    <t>Vantage Mobility 23</t>
  </si>
  <si>
    <t>C0024</t>
  </si>
  <si>
    <t>Juniper Foods 24</t>
  </si>
  <si>
    <t>C0025</t>
  </si>
  <si>
    <t>Harbor Energy 25</t>
  </si>
  <si>
    <t>C0026</t>
  </si>
  <si>
    <t>Zenith Logistics 26</t>
  </si>
  <si>
    <t>C0027</t>
  </si>
  <si>
    <t>Northwind Labs 27</t>
  </si>
  <si>
    <t>C0028</t>
  </si>
  <si>
    <t>Harbor Media 28</t>
  </si>
  <si>
    <t>C0029</t>
  </si>
  <si>
    <t>Bluefin Financial 29</t>
  </si>
  <si>
    <t>C0030</t>
  </si>
  <si>
    <t>Saffron Health 30</t>
  </si>
  <si>
    <t>C0031</t>
  </si>
  <si>
    <t>Quarry Mobility 31</t>
  </si>
  <si>
    <t>C0032</t>
  </si>
  <si>
    <t>Vantage Energy 32</t>
  </si>
  <si>
    <t>C0033</t>
  </si>
  <si>
    <t>Northwind Labs 33</t>
  </si>
  <si>
    <t>C0034</t>
  </si>
  <si>
    <t>Marlin Logistics 34</t>
  </si>
  <si>
    <t>C0035</t>
  </si>
  <si>
    <t>Juniper Financial 35</t>
  </si>
  <si>
    <t>C0036</t>
  </si>
  <si>
    <t>Quarry Energy 36</t>
  </si>
  <si>
    <t>C0037</t>
  </si>
  <si>
    <t>Marlin Labs 37</t>
  </si>
  <si>
    <t>C0038</t>
  </si>
  <si>
    <t>Kestrel Labs 38</t>
  </si>
  <si>
    <t>C0039</t>
  </si>
  <si>
    <t>Zenith Logistics 39</t>
  </si>
  <si>
    <t>C0040</t>
  </si>
  <si>
    <t>Zenith Media 40</t>
  </si>
  <si>
    <t>C0041</t>
  </si>
  <si>
    <t>Cinder Financial 41</t>
  </si>
  <si>
    <t>C0042</t>
  </si>
  <si>
    <t>Juniper Financial 42</t>
  </si>
  <si>
    <t>C0043</t>
  </si>
  <si>
    <t>Bluefin Foods 43</t>
  </si>
  <si>
    <t>C0044</t>
  </si>
  <si>
    <t>Bluefin Health 44</t>
  </si>
  <si>
    <t>C0045</t>
  </si>
  <si>
    <t>Kestrel Labs 45</t>
  </si>
  <si>
    <t>C0046</t>
  </si>
  <si>
    <t>Granite Systems 46</t>
  </si>
  <si>
    <t>C0047</t>
  </si>
  <si>
    <t>Vantage Foods 47</t>
  </si>
  <si>
    <t>C0048</t>
  </si>
  <si>
    <t>Pinecrest Financial 48</t>
  </si>
  <si>
    <t>C0049</t>
  </si>
  <si>
    <t>Quarry Logistics 49</t>
  </si>
  <si>
    <t>C0050</t>
  </si>
  <si>
    <t>Lantern Health 50</t>
  </si>
  <si>
    <t>C0051</t>
  </si>
  <si>
    <t>Lantern Retail 51</t>
  </si>
  <si>
    <t>C0052</t>
  </si>
  <si>
    <t>Kestrel Logistics 52</t>
  </si>
  <si>
    <t>C0053</t>
  </si>
  <si>
    <t>Cinder Financial 53</t>
  </si>
  <si>
    <t>C0054</t>
  </si>
  <si>
    <t>Lantern Mobility 54</t>
  </si>
  <si>
    <t>C0055</t>
  </si>
  <si>
    <t>Orchard Labs 55</t>
  </si>
  <si>
    <t>C0056</t>
  </si>
  <si>
    <t>Granite Systems 56</t>
  </si>
  <si>
    <t>C0057</t>
  </si>
  <si>
    <t>Orchard Energy 57</t>
  </si>
  <si>
    <t>C0058</t>
  </si>
  <si>
    <t>Juniper Mobility 58</t>
  </si>
  <si>
    <t>C0059</t>
  </si>
  <si>
    <t>Pinecrest Foods 59</t>
  </si>
  <si>
    <t>C0060</t>
  </si>
  <si>
    <t>Beacon Retail 60</t>
  </si>
  <si>
    <t>C0061</t>
  </si>
  <si>
    <t>Zenith Mobility 61</t>
  </si>
  <si>
    <t>C0062</t>
  </si>
  <si>
    <t>Vantage Financial 62</t>
  </si>
  <si>
    <t>C0063</t>
  </si>
  <si>
    <t>Orchard Media 63</t>
  </si>
  <si>
    <t>C0064</t>
  </si>
  <si>
    <t>Willow Systems 64</t>
  </si>
  <si>
    <t>C0065</t>
  </si>
  <si>
    <t>Beacon Labs 65</t>
  </si>
  <si>
    <t>C0066</t>
  </si>
  <si>
    <t>Harbor Media 66</t>
  </si>
  <si>
    <t>C0067</t>
  </si>
  <si>
    <t>Cinder Systems 67</t>
  </si>
  <si>
    <t>C0068</t>
  </si>
  <si>
    <t>Beacon Energy 68</t>
  </si>
  <si>
    <t>C0069</t>
  </si>
  <si>
    <t>Vantage Foods 69</t>
  </si>
  <si>
    <t>C0070</t>
  </si>
  <si>
    <t>Kestrel Mobility 70</t>
  </si>
  <si>
    <t>C0071</t>
  </si>
  <si>
    <t>Harbor Retail 71</t>
  </si>
  <si>
    <t>C0072</t>
  </si>
  <si>
    <t>Lantern Financial 72</t>
  </si>
  <si>
    <t>C0073</t>
  </si>
  <si>
    <t>Granite Foods 73</t>
  </si>
  <si>
    <t>C0074</t>
  </si>
  <si>
    <t>Orchard Logistics 74</t>
  </si>
  <si>
    <t>C0075</t>
  </si>
  <si>
    <t>Pinecrest Energy 75</t>
  </si>
  <si>
    <t>C0076</t>
  </si>
  <si>
    <t>Kestrel Mobility 76</t>
  </si>
  <si>
    <t>C0077</t>
  </si>
  <si>
    <t>Vantage Energy 77</t>
  </si>
  <si>
    <t>C0078</t>
  </si>
  <si>
    <t>Pinecrest Mobility 78</t>
  </si>
  <si>
    <t>C0079</t>
  </si>
  <si>
    <t>Zenith Mobility 79</t>
  </si>
  <si>
    <t>C0080</t>
  </si>
  <si>
    <t>Lantern Energy 80</t>
  </si>
  <si>
    <t>C0081</t>
  </si>
  <si>
    <t>Harbor Mobility 81</t>
  </si>
  <si>
    <t>C0082</t>
  </si>
  <si>
    <t>Northwind Energy 82</t>
  </si>
  <si>
    <t>C0083</t>
  </si>
  <si>
    <t>Northwind Retail 83</t>
  </si>
  <si>
    <t>C0084</t>
  </si>
  <si>
    <t>Juniper Retail 84</t>
  </si>
  <si>
    <t>C0085</t>
  </si>
  <si>
    <t>Harbor Retail 85</t>
  </si>
  <si>
    <t>C0086</t>
  </si>
  <si>
    <t>Beacon Energy 86</t>
  </si>
  <si>
    <t>C0087</t>
  </si>
  <si>
    <t>Bluefin Mobility 87</t>
  </si>
  <si>
    <t>C0088</t>
  </si>
  <si>
    <t>Bluefin Health 88</t>
  </si>
  <si>
    <t>C0089</t>
  </si>
  <si>
    <t>Willow Media 89</t>
  </si>
  <si>
    <t>C0090</t>
  </si>
  <si>
    <t>Granite Retail 90</t>
  </si>
  <si>
    <t>C0091</t>
  </si>
  <si>
    <t>Tidal Logistics 91</t>
  </si>
  <si>
    <t>Mid-Market</t>
  </si>
  <si>
    <t>C0092</t>
  </si>
  <si>
    <t>Beacon Logistics 92</t>
  </si>
  <si>
    <t>C0093</t>
  </si>
  <si>
    <t>Vantage Logistics 93</t>
  </si>
  <si>
    <t>C0094</t>
  </si>
  <si>
    <t>Kestrel Energy 94</t>
  </si>
  <si>
    <t>C0095</t>
  </si>
  <si>
    <t>Zenith Labs 95</t>
  </si>
  <si>
    <t>C0096</t>
  </si>
  <si>
    <t>Ember Media 96</t>
  </si>
  <si>
    <t>C0097</t>
  </si>
  <si>
    <t>Juniper Mobility 97</t>
  </si>
  <si>
    <t>C0098</t>
  </si>
  <si>
    <t>Delta Systems 98</t>
  </si>
  <si>
    <t>C0099</t>
  </si>
  <si>
    <t>Quarry Retail 99</t>
  </si>
  <si>
    <t>C0100</t>
  </si>
  <si>
    <t>Northwind Retail 100</t>
  </si>
  <si>
    <t>C0101</t>
  </si>
  <si>
    <t>Tidal Retail 101</t>
  </si>
  <si>
    <t>C0102</t>
  </si>
  <si>
    <t>Orchard Media 102</t>
  </si>
  <si>
    <t>C0103</t>
  </si>
  <si>
    <t>Tidal Financial 103</t>
  </si>
  <si>
    <t>C0104</t>
  </si>
  <si>
    <t>Marlin Foods 104</t>
  </si>
  <si>
    <t>C0105</t>
  </si>
  <si>
    <t>Kestrel Mobility 105</t>
  </si>
  <si>
    <t>C0106</t>
  </si>
  <si>
    <t>Granite Mobility 106</t>
  </si>
  <si>
    <t>C0107</t>
  </si>
  <si>
    <t>Bluefin Health 107</t>
  </si>
  <si>
    <t>C0108</t>
  </si>
  <si>
    <t>Northwind Media 108</t>
  </si>
  <si>
    <t>C0109</t>
  </si>
  <si>
    <t>Delta Media 109</t>
  </si>
  <si>
    <t>C0110</t>
  </si>
  <si>
    <t>Northwind Media 110</t>
  </si>
  <si>
    <t>C0111</t>
  </si>
  <si>
    <t>Kestrel Labs 111</t>
  </si>
  <si>
    <t>C0112</t>
  </si>
  <si>
    <t>Ember Media 112</t>
  </si>
  <si>
    <t>C0113</t>
  </si>
  <si>
    <t>Kestrel Media 113</t>
  </si>
  <si>
    <t>C0114</t>
  </si>
  <si>
    <t>Quarry Energy 114</t>
  </si>
  <si>
    <t>C0115</t>
  </si>
  <si>
    <t>Beacon Systems 115</t>
  </si>
  <si>
    <t>C0116</t>
  </si>
  <si>
    <t>Northwind Health 116</t>
  </si>
  <si>
    <t>C0117</t>
  </si>
  <si>
    <t>Marlin Media 117</t>
  </si>
  <si>
    <t>C0118</t>
  </si>
  <si>
    <t>Harbor Mobility 118</t>
  </si>
  <si>
    <t>C0119</t>
  </si>
  <si>
    <t>Willow Media 119</t>
  </si>
  <si>
    <t>C0120</t>
  </si>
  <si>
    <t>Northwind Foods 120</t>
  </si>
  <si>
    <t>C0121</t>
  </si>
  <si>
    <t>Vantage Retail 121</t>
  </si>
  <si>
    <t>C0122</t>
  </si>
  <si>
    <t>Marlin Labs 122</t>
  </si>
  <si>
    <t>C0123</t>
  </si>
  <si>
    <t>Delta Financial 123</t>
  </si>
  <si>
    <t>C0124</t>
  </si>
  <si>
    <t>Pinecrest Labs 124</t>
  </si>
  <si>
    <t>C0125</t>
  </si>
  <si>
    <t>Ember Financial 125</t>
  </si>
  <si>
    <t>C0126</t>
  </si>
  <si>
    <t>Tidal Mobility 126</t>
  </si>
  <si>
    <t>C0127</t>
  </si>
  <si>
    <t>Marlin Mobility 127</t>
  </si>
  <si>
    <t>C0128</t>
  </si>
  <si>
    <t>Ember Financial 128</t>
  </si>
  <si>
    <t>C0129</t>
  </si>
  <si>
    <t>Granite Mobility 129</t>
  </si>
  <si>
    <t>C0130</t>
  </si>
  <si>
    <t>Delta Systems 130</t>
  </si>
  <si>
    <t>C0131</t>
  </si>
  <si>
    <t>Marlin Energy 131</t>
  </si>
  <si>
    <t>C0132</t>
  </si>
  <si>
    <t>Marlin Foods 132</t>
  </si>
  <si>
    <t>C0133</t>
  </si>
  <si>
    <t>Northwind Health 133</t>
  </si>
  <si>
    <t>C0134</t>
  </si>
  <si>
    <t>Quarry Labs 134</t>
  </si>
  <si>
    <t>C0135</t>
  </si>
  <si>
    <t>Kestrel Retail 135</t>
  </si>
  <si>
    <t>C0136</t>
  </si>
  <si>
    <t>Orchard Systems 136</t>
  </si>
  <si>
    <t>C0137</t>
  </si>
  <si>
    <t>Beacon Mobility 137</t>
  </si>
  <si>
    <t>C0138</t>
  </si>
  <si>
    <t>Pinecrest Labs 138</t>
  </si>
  <si>
    <t>C0139</t>
  </si>
  <si>
    <t>Lantern Labs 139</t>
  </si>
  <si>
    <t>C0140</t>
  </si>
  <si>
    <t>Granite Media 140</t>
  </si>
  <si>
    <t>C0141</t>
  </si>
  <si>
    <t>Harbor Foods 141</t>
  </si>
  <si>
    <t>C0142</t>
  </si>
  <si>
    <t>Bluefin Financial 142</t>
  </si>
  <si>
    <t>C0143</t>
  </si>
  <si>
    <t>Saffron Labs 143</t>
  </si>
  <si>
    <t>C0144</t>
  </si>
  <si>
    <t>Delta Financial 144</t>
  </si>
  <si>
    <t>C0145</t>
  </si>
  <si>
    <t>Northwind Mobility 145</t>
  </si>
  <si>
    <t>C0146</t>
  </si>
  <si>
    <t>Harbor Foods 146</t>
  </si>
  <si>
    <t>C0147</t>
  </si>
  <si>
    <t>Pinecrest Systems 147</t>
  </si>
  <si>
    <t>C0148</t>
  </si>
  <si>
    <t>Marlin Media 148</t>
  </si>
  <si>
    <t>C0149</t>
  </si>
  <si>
    <t>Cinder Media 149</t>
  </si>
  <si>
    <t>C0150</t>
  </si>
  <si>
    <t>Beacon Foods 150</t>
  </si>
  <si>
    <t>C0151</t>
  </si>
  <si>
    <t>Beacon Logistics 151</t>
  </si>
  <si>
    <t>C0152</t>
  </si>
  <si>
    <t>Juniper Mobility 152</t>
  </si>
  <si>
    <t>C0153</t>
  </si>
  <si>
    <t>Delta Financial 153</t>
  </si>
  <si>
    <t>C0154</t>
  </si>
  <si>
    <t>Northwind Mobility 154</t>
  </si>
  <si>
    <t>C0155</t>
  </si>
  <si>
    <t>Cinder Labs 155</t>
  </si>
  <si>
    <t>C0156</t>
  </si>
  <si>
    <t>Juniper Retail 156</t>
  </si>
  <si>
    <t>C0157</t>
  </si>
  <si>
    <t>Saffron Mobility 157</t>
  </si>
  <si>
    <t>C0158</t>
  </si>
  <si>
    <t>Ember Logistics 158</t>
  </si>
  <si>
    <t>C0159</t>
  </si>
  <si>
    <t>Harbor Retail 159</t>
  </si>
  <si>
    <t>C0160</t>
  </si>
  <si>
    <t>Tidal Health 160</t>
  </si>
  <si>
    <t>C0161</t>
  </si>
  <si>
    <t>Delta Financial 161</t>
  </si>
  <si>
    <t>C0162</t>
  </si>
  <si>
    <t>Marlin Energy 162</t>
  </si>
  <si>
    <t>C0163</t>
  </si>
  <si>
    <t>Granite Labs 163</t>
  </si>
  <si>
    <t>C0164</t>
  </si>
  <si>
    <t>Lantern Mobility 164</t>
  </si>
  <si>
    <t>C0165</t>
  </si>
  <si>
    <t>Cinder Mobility 165</t>
  </si>
  <si>
    <t>C0166</t>
  </si>
  <si>
    <t>Zenith Media 166</t>
  </si>
  <si>
    <t>C0167</t>
  </si>
  <si>
    <t>Juniper Systems 167</t>
  </si>
  <si>
    <t>C0168</t>
  </si>
  <si>
    <t>Orchard Health 168</t>
  </si>
  <si>
    <t>C0169</t>
  </si>
  <si>
    <t>Kestrel Foods 169</t>
  </si>
  <si>
    <t>C0170</t>
  </si>
  <si>
    <t>Tidal Financial 170</t>
  </si>
  <si>
    <t>C0171</t>
  </si>
  <si>
    <t>Tidal Energy 171</t>
  </si>
  <si>
    <t>Enterprise</t>
  </si>
  <si>
    <t>C0172</t>
  </si>
  <si>
    <t>Kestrel Financial 172</t>
  </si>
  <si>
    <t>C0173</t>
  </si>
  <si>
    <t>Lantern Retail 173</t>
  </si>
  <si>
    <t>C0174</t>
  </si>
  <si>
    <t>Harbor Logistics 174</t>
  </si>
  <si>
    <t>C0175</t>
  </si>
  <si>
    <t>Orchard Systems 175</t>
  </si>
  <si>
    <t>C0176</t>
  </si>
  <si>
    <t>Quarry Media 176</t>
  </si>
  <si>
    <t>C0177</t>
  </si>
  <si>
    <t>Vantage Health 177</t>
  </si>
  <si>
    <t>C0178</t>
  </si>
  <si>
    <t>Delta Foods 178</t>
  </si>
  <si>
    <t>C0179</t>
  </si>
  <si>
    <t>Saffron Energy 179</t>
  </si>
  <si>
    <t>C0180</t>
  </si>
  <si>
    <t>Vantage Mobility 180</t>
  </si>
  <si>
    <t>C0181</t>
  </si>
  <si>
    <t>Orchard Financial 181</t>
  </si>
  <si>
    <t>C0182</t>
  </si>
  <si>
    <t>Ember Financial 182</t>
  </si>
  <si>
    <t>C0183</t>
  </si>
  <si>
    <t>Orchard Mobility 183</t>
  </si>
  <si>
    <t>C0184</t>
  </si>
  <si>
    <t>Bluefin Retail 184</t>
  </si>
  <si>
    <t>C0185</t>
  </si>
  <si>
    <t>Kestrel Energy 185</t>
  </si>
  <si>
    <t>C0186</t>
  </si>
  <si>
    <t>Tidal Labs 186</t>
  </si>
  <si>
    <t>C0187</t>
  </si>
  <si>
    <t>Tidal Media 187</t>
  </si>
  <si>
    <t>C0188</t>
  </si>
  <si>
    <t>Ember Foods 188</t>
  </si>
  <si>
    <t>C0189</t>
  </si>
  <si>
    <t>Vantage Systems 189</t>
  </si>
  <si>
    <t>C0190</t>
  </si>
  <si>
    <t>Saffron Logistics 190</t>
  </si>
  <si>
    <t>C0191</t>
  </si>
  <si>
    <t>Juniper Media 191</t>
  </si>
  <si>
    <t>C0192</t>
  </si>
  <si>
    <t>Lantern Financial 192</t>
  </si>
  <si>
    <t>C0193</t>
  </si>
  <si>
    <t>Marlin Health 193</t>
  </si>
  <si>
    <t>C0194</t>
  </si>
  <si>
    <t>Lantern Energy 194</t>
  </si>
  <si>
    <t>C0195</t>
  </si>
  <si>
    <t>Juniper Retail 195</t>
  </si>
  <si>
    <t>C0196</t>
  </si>
  <si>
    <t>Delta Retail 196</t>
  </si>
  <si>
    <t>C0197</t>
  </si>
  <si>
    <t>Harbor Foods 197</t>
  </si>
  <si>
    <t>C0198</t>
  </si>
  <si>
    <t>Delta Mobility 198</t>
  </si>
  <si>
    <t>C0199</t>
  </si>
  <si>
    <t>Zenith Energy 199</t>
  </si>
  <si>
    <t>C0200</t>
  </si>
  <si>
    <t>Tidal Foods 200</t>
  </si>
  <si>
    <t>Ardent Labs, Inc.  ARR bridge FY2026 (USD)</t>
  </si>
  <si>
    <t>Month</t>
  </si>
  <si>
    <t>Beginning ARR</t>
  </si>
  <si>
    <t>New</t>
  </si>
  <si>
    <t>Expansion</t>
  </si>
  <si>
    <t>Contraction</t>
  </si>
  <si>
    <t>Churn</t>
  </si>
  <si>
    <t>Ending ARR</t>
  </si>
  <si>
    <t>Net new ARR</t>
  </si>
  <si>
    <t>NRR (YTD, simplified)</t>
  </si>
  <si>
    <t>Ardent Labs, Inc.  Q3 FY2026 board KPIs</t>
  </si>
  <si>
    <t>Metric</t>
  </si>
  <si>
    <t>Q3 FY26</t>
  </si>
  <si>
    <t>Definition</t>
  </si>
  <si>
    <t>Source</t>
  </si>
  <si>
    <t>Contracted annual recurring revenue at Sep 30</t>
  </si>
  <si>
    <t>ARR Bridge</t>
  </si>
  <si>
    <t>Run-rate revenue (monthly)</t>
  </si>
  <si>
    <t>Ending ARR / 12</t>
  </si>
  <si>
    <t>Derived</t>
  </si>
  <si>
    <t>GAAP revenue, Q3</t>
  </si>
  <si>
    <t>Recognised revenue Jul to Sep, USD</t>
  </si>
  <si>
    <t>Pasted from BvA Summary (Jul to Sep actual) 2026-10-03</t>
  </si>
  <si>
    <t>COGS, Q3</t>
  </si>
  <si>
    <t>Hosting + services delivery</t>
  </si>
  <si>
    <t>Pasted from BvA Summary 2026-10-03</t>
  </si>
  <si>
    <t>Customer Success cost, Q3</t>
  </si>
  <si>
    <t>CS department opex, all accounts</t>
  </si>
  <si>
    <t>Pasted from GL export 2026-10-03</t>
  </si>
  <si>
    <t>Gross margin % (investor)</t>
  </si>
  <si>
    <t>(Revenue - COGS - Customer Success cost) / Revenue</t>
  </si>
  <si>
    <t>Derived; differs from FP&amp;A BvA definition</t>
  </si>
  <si>
    <t>Net new ARR, Q3</t>
  </si>
  <si>
    <t>Ending minus beginning ARR, Jul to Sep</t>
  </si>
  <si>
    <t>NRR</t>
  </si>
  <si>
    <t>Net revenue retention (see Definitions)</t>
  </si>
  <si>
    <t>EBITDA, Q3</t>
  </si>
  <si>
    <t>Revenue - COGS - Opex</t>
  </si>
  <si>
    <t>EBITDA margin, Q3</t>
  </si>
  <si>
    <t>EBITDA / GAAP revenue</t>
  </si>
  <si>
    <t>ARR growth YoY</t>
  </si>
  <si>
    <t>Ending ARR vs Sep-25 ARR</t>
  </si>
  <si>
    <t>Sep-25 ARR (prior year)</t>
  </si>
  <si>
    <t>Per FY25 board pack</t>
  </si>
  <si>
    <t>Typed</t>
  </si>
  <si>
    <t>Rule of 40</t>
  </si>
  <si>
    <t>ARR growth + EBITDA margin</t>
  </si>
  <si>
    <t>Net burn, Q3</t>
  </si>
  <si>
    <t>Operating cash outflow</t>
  </si>
  <si>
    <t>Cash model (not in this pack)</t>
  </si>
  <si>
    <t>Burn multiple</t>
  </si>
  <si>
    <t>Net burn / net new ARR</t>
  </si>
  <si>
    <t>ARR by segment (active customers)</t>
  </si>
  <si>
    <t>ARR</t>
  </si>
  <si>
    <t>Customers</t>
  </si>
  <si>
    <t>Average ARR</t>
  </si>
  <si>
    <t>Total</t>
  </si>
  <si>
    <t>Notes</t>
  </si>
  <si>
    <t>Gross margin here follows the investor convention (includes Customer Success cost). The FP&amp;A BvA file excludes it. Reconcile before the board meeting.</t>
  </si>
  <si>
    <t>Run-rate revenue is ARR / 12 and will not tie to GAAP revenue in the BvA file.</t>
  </si>
  <si>
    <t>Segment ARR excludes churned customers (blank churn date) but ignores expansion since renewal; the bridge total is the governed ARR figure.</t>
  </si>
  <si>
    <t>Logo retention by start-quarter cohort (%)</t>
  </si>
  <si>
    <t>Pasted from Looker dashboard 'Retention v3' on 2026-09-30. Not calculated in this workbook.</t>
  </si>
  <si>
    <t>Cohort</t>
  </si>
  <si>
    <t>M0</t>
  </si>
  <si>
    <t>M3</t>
  </si>
  <si>
    <t>M6</t>
  </si>
  <si>
    <t>M9</t>
  </si>
  <si>
    <t>M12</t>
  </si>
  <si>
    <t>M18</t>
  </si>
  <si>
    <t>M24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</si>
  <si>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</si>
  <si>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</si>
  <si>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</si>
  <si>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</si>
  <si>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</si>
  <si>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</si>
  <si>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</si>
  <si>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</si>
  <si>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2026-Q1</t>
  </si>
  <si>
    <t>2026-Q2</t>
  </si>
  <si>
    <t>Owner</t>
  </si>
  <si>
    <t>Last reviewed</t>
  </si>
  <si>
    <t>Known differences</t>
  </si>
  <si>
    <t>Sum of contracted annual recurring revenue for active customers, plus expansion since renewal per the billing system.</t>
  </si>
  <si>
    <t>RevOps</t>
  </si>
  <si>
    <t>Customers tab excludes post-renewal expansion; ARR Bridge includes it.</t>
  </si>
  <si>
    <t>Revenue (board pack)</t>
  </si>
  <si>
    <t>ARR / 12, run-rate.</t>
  </si>
  <si>
    <t>FP&amp;A</t>
  </si>
  <si>
    <t>BvA file uses GAAP recognised revenue from the GL.</t>
  </si>
  <si>
    <t>Gross margin (investor)</t>
  </si>
  <si>
    <t>(Revenue - COGS - Customer Success cost) / Revenue.</t>
  </si>
  <si>
    <t>CFO</t>
  </si>
  <si>
    <t>FP&amp;A BvA gross margin = (Revenue - COGS) / Revenue; CS is Opex there.</t>
  </si>
  <si>
    <t>Trailing twelve months: (beginning ARR + expansion + contraction + churn) / beginning ARR for the cohort active 12 months ago.</t>
  </si>
  <si>
    <t>ARR Bridge B14 computes a YTD simplification, not TTM.</t>
  </si>
  <si>
    <t>ARR growth YoY + EBITDA margin.</t>
  </si>
  <si>
    <t>Some investor decks use revenue growth + FCF margin.</t>
  </si>
  <si>
    <t>Net burn / net new ARR for the period.</t>
  </si>
  <si>
    <t>Headcount</t>
  </si>
  <si>
    <t>Active employees at month end, FTE not weighted.</t>
  </si>
  <si>
    <t>People Ops</t>
  </si>
  <si>
    <t>Headcount Plan counts contractors separately; BvA snapshot pastes ending HC.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</si>
</sst>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#,##0;\(#,##0\)"/>
    <numFmt numFmtId="166" formatCode="0.0%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  <font>
      <i/>
      <sz val="11"/>
      <color rgb="FF80808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17" fontId="0" fillId="0" borderId="0" xfId="0" applyNumberFormat="1"/>
    <xf numFmtId="165" fontId="0" fillId="3" borderId="0" xfId="0" applyNumberFormat="1" applyFill="1"/>
    <xf numFmtId="0" fontId="1" fillId="0" borderId="0" xfId="0" applyFont="1"/>
    <xf numFmtId="166" fontId="0" fillId="0" borderId="0" xfId="0" applyNumberFormat="1"/>
    <xf numFmtId="165" fontId="1" fillId="4" borderId="0" xfId="0" applyNumberFormat="1" applyFont="1" applyFill="1"/>
    <xf numFmtId="0" fontId="1" fillId="4" borderId="0" xfId="0" applyFont="1" applyFill="1"/>
    <xf numFmtId="0" fontId="3" fillId="0" borderId="0" xfId="0" applyFont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26" customWidth="1"/>
    <col min="3" max="3" width="12" customWidth="1"/>
    <col min="4" max="4" width="8" customWidth="1"/>
    <col min="5" max="5" width="16" customWidth="1"/>
    <col min="6" max="8" width="12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>
        <v>45828</v>
      </c>
      <c r="H2" s="3">
        <v>16900</v>
      </c>
    </row>
    <row r="3" spans="1:8" x14ac:dyDescent="0.2">
      <c r="A3" t="s">
        <v>13</v>
      </c>
      <c r="B3" t="s">
        <v>14</v>
      </c>
      <c r="C3" t="s">
        <v>10</v>
      </c>
      <c r="D3" t="s">
        <v>11</v>
      </c>
      <c r="E3" t="s">
        <v>12</v>
      </c>
      <c r="F3" s="2">
        <v>46133</v>
      </c>
      <c r="H3" s="3">
        <v>9800</v>
      </c>
    </row>
    <row r="4" spans="1:8" x14ac:dyDescent="0.2">
      <c r="A4" t="s">
        <v>15</v>
      </c>
      <c r="B4" t="s">
        <v>16</v>
      </c>
      <c r="C4" t="s">
        <v>10</v>
      </c>
      <c r="D4" t="s">
        <v>11</v>
      </c>
      <c r="E4" t="s">
        <v>12</v>
      </c>
      <c r="F4" s="2">
        <v>46013</v>
      </c>
      <c r="H4" s="3">
        <v>11500</v>
      </c>
    </row>
    <row r="5" spans="1:8" x14ac:dyDescent="0.2">
      <c r="A5" t="s">
        <v>17</v>
      </c>
      <c r="B5" t="s">
        <v>18</v>
      </c>
      <c r="C5" t="s">
        <v>10</v>
      </c>
      <c r="D5" t="s">
        <v>11</v>
      </c>
      <c r="E5" t="s">
        <v>19</v>
      </c>
      <c r="F5" s="2">
        <v>45055</v>
      </c>
      <c r="H5" s="3">
        <v>16000</v>
      </c>
    </row>
    <row r="6" spans="1:8" x14ac:dyDescent="0.2">
      <c r="A6" t="s">
        <v>20</v>
      </c>
      <c r="B6" t="s">
        <v>21</v>
      </c>
      <c r="C6" t="s">
        <v>10</v>
      </c>
      <c r="D6" t="s">
        <v>11</v>
      </c>
      <c r="E6" t="s">
        <v>19</v>
      </c>
      <c r="F6" s="2">
        <v>45762</v>
      </c>
      <c r="H6" s="3">
        <v>10500</v>
      </c>
    </row>
    <row r="7" spans="1:8" x14ac:dyDescent="0.2">
      <c r="A7" t="s">
        <v>22</v>
      </c>
      <c r="B7" t="s">
        <v>23</v>
      </c>
      <c r="C7" t="s">
        <v>10</v>
      </c>
      <c r="D7" t="s">
        <v>11</v>
      </c>
      <c r="E7" t="s">
        <v>19</v>
      </c>
      <c r="F7" s="2">
        <v>45100</v>
      </c>
      <c r="H7" s="3">
        <v>18000</v>
      </c>
    </row>
    <row r="8" spans="1:8" x14ac:dyDescent="0.2">
      <c r="A8" t="s">
        <v>24</v>
      </c>
      <c r="B8" t="s">
        <v>25</v>
      </c>
      <c r="C8" t="s">
        <v>10</v>
      </c>
      <c r="D8" t="s">
        <v>26</v>
      </c>
      <c r="E8" t="s">
        <v>19</v>
      </c>
      <c r="F8" s="2">
        <v>44713</v>
      </c>
      <c r="H8" s="3">
        <v>25100</v>
      </c>
    </row>
    <row r="9" spans="1:8" x14ac:dyDescent="0.2">
      <c r="A9" t="s">
        <v>27</v>
      </c>
      <c r="B9" t="s">
        <v>28</v>
      </c>
      <c r="C9" t="s">
        <v>10</v>
      </c>
      <c r="D9" t="s">
        <v>26</v>
      </c>
      <c r="E9" t="s">
        <v>19</v>
      </c>
      <c r="F9" s="2">
        <v>45135</v>
      </c>
      <c r="H9" s="3">
        <v>19100</v>
      </c>
    </row>
    <row r="10" spans="1:8" x14ac:dyDescent="0.2">
      <c r="A10" t="s">
        <v>29</v>
      </c>
      <c r="B10" t="s">
        <v>30</v>
      </c>
      <c r="C10" t="s">
        <v>10</v>
      </c>
      <c r="D10" t="s">
        <v>26</v>
      </c>
      <c r="E10" t="s">
        <v>12</v>
      </c>
      <c r="F10" s="2">
        <v>45093</v>
      </c>
      <c r="H10" s="3">
        <v>18600</v>
      </c>
    </row>
    <row r="11" spans="1:8" x14ac:dyDescent="0.2">
      <c r="A11" t="s">
        <v>31</v>
      </c>
      <c r="B11" t="s">
        <v>32</v>
      </c>
      <c r="C11" t="s">
        <v>10</v>
      </c>
      <c r="D11" t="s">
        <v>11</v>
      </c>
      <c r="E11" t="s">
        <v>19</v>
      </c>
      <c r="F11" s="2">
        <v>45382</v>
      </c>
      <c r="H11" s="3">
        <v>20000</v>
      </c>
    </row>
    <row r="12" spans="1:8" x14ac:dyDescent="0.2">
      <c r="A12" t="s">
        <v>33</v>
      </c>
      <c r="B12" t="s">
        <v>34</v>
      </c>
      <c r="C12" t="s">
        <v>10</v>
      </c>
      <c r="D12" t="s">
        <v>11</v>
      </c>
      <c r="E12" t="s">
        <v>12</v>
      </c>
      <c r="F12" s="2">
        <v>45129</v>
      </c>
      <c r="G12" s="2">
        <v>46178</v>
      </c>
      <c r="H12" s="3">
        <v>13000</v>
      </c>
    </row>
    <row r="13" spans="1:8" x14ac:dyDescent="0.2">
      <c r="A13" t="s">
        <v>35</v>
      </c>
      <c r="B13" t="s">
        <v>36</v>
      </c>
      <c r="C13" t="s">
        <v>10</v>
      </c>
      <c r="D13" t="s">
        <v>11</v>
      </c>
      <c r="E13" t="s">
        <v>19</v>
      </c>
      <c r="F13" s="2">
        <v>45783</v>
      </c>
      <c r="H13" s="3">
        <v>26400</v>
      </c>
    </row>
    <row r="14" spans="1:8" x14ac:dyDescent="0.2">
      <c r="A14" t="s">
        <v>37</v>
      </c>
      <c r="B14" t="s">
        <v>38</v>
      </c>
      <c r="C14" t="s">
        <v>10</v>
      </c>
      <c r="D14" t="s">
        <v>26</v>
      </c>
      <c r="E14" t="s">
        <v>19</v>
      </c>
      <c r="F14" s="2">
        <v>44642</v>
      </c>
      <c r="H14" s="3">
        <v>8400</v>
      </c>
    </row>
    <row r="15" spans="1:8" x14ac:dyDescent="0.2">
      <c r="A15" t="s">
        <v>39</v>
      </c>
      <c r="B15" t="s">
        <v>40</v>
      </c>
      <c r="C15" t="s">
        <v>10</v>
      </c>
      <c r="D15" t="s">
        <v>11</v>
      </c>
      <c r="E15" t="s">
        <v>19</v>
      </c>
      <c r="F15" s="2">
        <v>45670</v>
      </c>
      <c r="H15" s="3">
        <v>28900</v>
      </c>
    </row>
    <row r="16" spans="1:8" x14ac:dyDescent="0.2">
      <c r="A16" t="s">
        <v>41</v>
      </c>
      <c r="B16" t="s">
        <v>42</v>
      </c>
      <c r="C16" t="s">
        <v>10</v>
      </c>
      <c r="D16" t="s">
        <v>11</v>
      </c>
      <c r="E16" t="s">
        <v>12</v>
      </c>
      <c r="F16" s="2">
        <v>44762</v>
      </c>
      <c r="H16" s="3">
        <v>14300</v>
      </c>
    </row>
    <row r="17" spans="1:8" x14ac:dyDescent="0.2">
      <c r="A17" t="s">
        <v>43</v>
      </c>
      <c r="B17" t="s">
        <v>44</v>
      </c>
      <c r="C17" t="s">
        <v>10</v>
      </c>
      <c r="D17" t="s">
        <v>26</v>
      </c>
      <c r="E17" t="s">
        <v>12</v>
      </c>
      <c r="F17" s="2">
        <v>45146</v>
      </c>
      <c r="H17" s="3">
        <v>26200</v>
      </c>
    </row>
    <row r="18" spans="1:8" x14ac:dyDescent="0.2">
      <c r="A18" t="s">
        <v>45</v>
      </c>
      <c r="B18" t="s">
        <v>46</v>
      </c>
      <c r="C18" t="s">
        <v>10</v>
      </c>
      <c r="D18" t="s">
        <v>11</v>
      </c>
      <c r="E18" t="s">
        <v>19</v>
      </c>
      <c r="F18" s="2">
        <v>45103</v>
      </c>
      <c r="H18" s="3">
        <v>15700</v>
      </c>
    </row>
    <row r="19" spans="1:8" x14ac:dyDescent="0.2">
      <c r="A19" t="s">
        <v>47</v>
      </c>
      <c r="B19" t="s">
        <v>48</v>
      </c>
      <c r="C19" t="s">
        <v>10</v>
      </c>
      <c r="D19" t="s">
        <v>11</v>
      </c>
      <c r="E19" t="s">
        <v>19</v>
      </c>
      <c r="F19" s="2">
        <v>45938</v>
      </c>
      <c r="H19" s="3">
        <v>25100</v>
      </c>
    </row>
    <row r="20" spans="1:8" x14ac:dyDescent="0.2">
      <c r="A20" t="s">
        <v>49</v>
      </c>
      <c r="B20" t="s">
        <v>50</v>
      </c>
      <c r="C20" t="s">
        <v>10</v>
      </c>
      <c r="D20" t="s">
        <v>26</v>
      </c>
      <c r="E20" t="s">
        <v>12</v>
      </c>
      <c r="F20" s="2">
        <v>45613</v>
      </c>
      <c r="H20" s="3">
        <v>26200</v>
      </c>
    </row>
    <row r="21" spans="1:8" x14ac:dyDescent="0.2">
      <c r="A21" t="s">
        <v>51</v>
      </c>
      <c r="B21" t="s">
        <v>52</v>
      </c>
      <c r="C21" t="s">
        <v>10</v>
      </c>
      <c r="D21" t="s">
        <v>11</v>
      </c>
      <c r="E21" t="s">
        <v>19</v>
      </c>
      <c r="F21" s="2">
        <v>45482</v>
      </c>
      <c r="H21" s="3">
        <v>21800</v>
      </c>
    </row>
    <row r="22" spans="1:8" x14ac:dyDescent="0.2">
      <c r="A22" t="s">
        <v>53</v>
      </c>
      <c r="B22" t="s">
        <v>54</v>
      </c>
      <c r="C22" t="s">
        <v>10</v>
      </c>
      <c r="D22" t="s">
        <v>11</v>
      </c>
      <c r="E22" t="s">
        <v>12</v>
      </c>
      <c r="F22" s="2">
        <v>45175</v>
      </c>
      <c r="H22" s="3">
        <v>17000</v>
      </c>
    </row>
    <row r="23" spans="1:8" x14ac:dyDescent="0.2">
      <c r="A23" t="s">
        <v>55</v>
      </c>
      <c r="B23" t="s">
        <v>56</v>
      </c>
      <c r="C23" t="s">
        <v>10</v>
      </c>
      <c r="D23" t="s">
        <v>11</v>
      </c>
      <c r="E23" t="s">
        <v>12</v>
      </c>
      <c r="F23" s="2">
        <v>45847</v>
      </c>
      <c r="H23" s="3">
        <v>32000</v>
      </c>
    </row>
    <row r="24" spans="1:8" x14ac:dyDescent="0.2">
      <c r="A24" t="s">
        <v>57</v>
      </c>
      <c r="B24" t="s">
        <v>58</v>
      </c>
      <c r="C24" t="s">
        <v>10</v>
      </c>
      <c r="D24" t="s">
        <v>26</v>
      </c>
      <c r="E24" t="s">
        <v>19</v>
      </c>
      <c r="F24" s="2">
        <v>45873</v>
      </c>
      <c r="H24" s="3">
        <v>16400</v>
      </c>
    </row>
    <row r="25" spans="1:8" x14ac:dyDescent="0.2">
      <c r="A25" t="s">
        <v>59</v>
      </c>
      <c r="B25" t="s">
        <v>60</v>
      </c>
      <c r="C25" t="s">
        <v>10</v>
      </c>
      <c r="D25" t="s">
        <v>11</v>
      </c>
      <c r="E25" t="s">
        <v>19</v>
      </c>
      <c r="F25" s="2">
        <v>45101</v>
      </c>
      <c r="H25" s="3">
        <v>14100</v>
      </c>
    </row>
    <row r="26" spans="1:8" x14ac:dyDescent="0.2">
      <c r="A26" t="s">
        <v>61</v>
      </c>
      <c r="B26" t="s">
        <v>62</v>
      </c>
      <c r="C26" t="s">
        <v>10</v>
      </c>
      <c r="D26" t="s">
        <v>11</v>
      </c>
      <c r="E26" t="s">
        <v>19</v>
      </c>
      <c r="F26" s="2">
        <v>45139</v>
      </c>
      <c r="G26" s="2">
        <v>46140</v>
      </c>
      <c r="H26" s="3">
        <v>22600</v>
      </c>
    </row>
    <row r="27" spans="1:8" x14ac:dyDescent="0.2">
      <c r="A27" t="s">
        <v>63</v>
      </c>
      <c r="B27" t="s">
        <v>64</v>
      </c>
      <c r="C27" t="s">
        <v>10</v>
      </c>
      <c r="D27" t="s">
        <v>11</v>
      </c>
      <c r="E27" t="s">
        <v>12</v>
      </c>
      <c r="F27" s="2">
        <v>44565</v>
      </c>
      <c r="H27" s="3">
        <v>17000</v>
      </c>
    </row>
    <row r="28" spans="1:8" x14ac:dyDescent="0.2">
      <c r="A28" t="s">
        <v>65</v>
      </c>
      <c r="B28" t="s">
        <v>66</v>
      </c>
      <c r="C28" t="s">
        <v>10</v>
      </c>
      <c r="D28" t="s">
        <v>11</v>
      </c>
      <c r="E28" t="s">
        <v>19</v>
      </c>
      <c r="F28" s="2">
        <v>44999</v>
      </c>
      <c r="H28" s="3">
        <v>8000</v>
      </c>
    </row>
    <row r="29" spans="1:8" x14ac:dyDescent="0.2">
      <c r="A29" t="s">
        <v>67</v>
      </c>
      <c r="B29" t="s">
        <v>68</v>
      </c>
      <c r="C29" t="s">
        <v>10</v>
      </c>
      <c r="D29" t="s">
        <v>11</v>
      </c>
      <c r="E29" t="s">
        <v>19</v>
      </c>
      <c r="F29" s="2">
        <v>45484</v>
      </c>
      <c r="H29" s="3">
        <v>21100</v>
      </c>
    </row>
    <row r="30" spans="1:8" x14ac:dyDescent="0.2">
      <c r="A30" t="s">
        <v>69</v>
      </c>
      <c r="B30" t="s">
        <v>70</v>
      </c>
      <c r="C30" t="s">
        <v>10</v>
      </c>
      <c r="D30" t="s">
        <v>11</v>
      </c>
      <c r="E30" t="s">
        <v>12</v>
      </c>
      <c r="F30" s="2">
        <v>45260</v>
      </c>
      <c r="H30" s="3">
        <v>17400</v>
      </c>
    </row>
    <row r="31" spans="1:8" x14ac:dyDescent="0.2">
      <c r="A31" t="s">
        <v>71</v>
      </c>
      <c r="B31" t="s">
        <v>72</v>
      </c>
      <c r="C31" t="s">
        <v>10</v>
      </c>
      <c r="D31" t="s">
        <v>11</v>
      </c>
      <c r="E31" t="s">
        <v>19</v>
      </c>
      <c r="F31" s="2">
        <v>45209</v>
      </c>
      <c r="H31" s="3">
        <v>30900</v>
      </c>
    </row>
    <row r="32" spans="1:8" x14ac:dyDescent="0.2">
      <c r="A32" t="s">
        <v>73</v>
      </c>
      <c r="B32" t="s">
        <v>74</v>
      </c>
      <c r="C32" t="s">
        <v>10</v>
      </c>
      <c r="D32" t="s">
        <v>11</v>
      </c>
      <c r="E32" t="s">
        <v>19</v>
      </c>
      <c r="F32" s="2">
        <v>44969</v>
      </c>
      <c r="H32" s="3">
        <v>8100</v>
      </c>
    </row>
    <row r="33" spans="1:8" x14ac:dyDescent="0.2">
      <c r="A33" t="s">
        <v>75</v>
      </c>
      <c r="B33" t="s">
        <v>76</v>
      </c>
      <c r="C33" t="s">
        <v>10</v>
      </c>
      <c r="D33" t="s">
        <v>11</v>
      </c>
      <c r="E33" t="s">
        <v>19</v>
      </c>
      <c r="F33" s="2">
        <v>45547</v>
      </c>
      <c r="G33" s="2">
        <v>46145</v>
      </c>
      <c r="H33" s="3">
        <v>15400</v>
      </c>
    </row>
    <row r="34" spans="1:8" x14ac:dyDescent="0.2">
      <c r="A34" t="s">
        <v>77</v>
      </c>
      <c r="B34" t="s">
        <v>78</v>
      </c>
      <c r="C34" t="s">
        <v>10</v>
      </c>
      <c r="D34" t="s">
        <v>11</v>
      </c>
      <c r="E34" t="s">
        <v>19</v>
      </c>
      <c r="F34" s="2">
        <v>46170</v>
      </c>
      <c r="H34" s="3">
        <v>9600</v>
      </c>
    </row>
    <row r="35" spans="1:8" x14ac:dyDescent="0.2">
      <c r="A35" t="s">
        <v>79</v>
      </c>
      <c r="B35" t="s">
        <v>80</v>
      </c>
      <c r="C35" t="s">
        <v>10</v>
      </c>
      <c r="D35" t="s">
        <v>11</v>
      </c>
      <c r="E35" t="s">
        <v>19</v>
      </c>
      <c r="F35" s="2">
        <v>44566</v>
      </c>
      <c r="G35" s="2">
        <v>46186</v>
      </c>
      <c r="H35" s="3">
        <v>21400</v>
      </c>
    </row>
    <row r="36" spans="1:8" x14ac:dyDescent="0.2">
      <c r="A36" t="s">
        <v>81</v>
      </c>
      <c r="B36" t="s">
        <v>82</v>
      </c>
      <c r="C36" t="s">
        <v>10</v>
      </c>
      <c r="D36" t="s">
        <v>26</v>
      </c>
      <c r="E36" t="s">
        <v>19</v>
      </c>
      <c r="F36" s="2">
        <v>45281</v>
      </c>
      <c r="H36" s="3">
        <v>29500</v>
      </c>
    </row>
    <row r="37" spans="1:8" x14ac:dyDescent="0.2">
      <c r="A37" t="s">
        <v>83</v>
      </c>
      <c r="B37" t="s">
        <v>84</v>
      </c>
      <c r="C37" t="s">
        <v>10</v>
      </c>
      <c r="D37" t="s">
        <v>26</v>
      </c>
      <c r="E37" t="s">
        <v>12</v>
      </c>
      <c r="F37" s="2">
        <v>45183</v>
      </c>
      <c r="H37" s="3">
        <v>27800</v>
      </c>
    </row>
    <row r="38" spans="1:8" x14ac:dyDescent="0.2">
      <c r="A38" t="s">
        <v>85</v>
      </c>
      <c r="B38" t="s">
        <v>86</v>
      </c>
      <c r="C38" t="s">
        <v>10</v>
      </c>
      <c r="D38" t="s">
        <v>11</v>
      </c>
      <c r="E38" t="s">
        <v>19</v>
      </c>
      <c r="F38" s="2">
        <v>44672</v>
      </c>
      <c r="H38" s="3">
        <v>17300</v>
      </c>
    </row>
    <row r="39" spans="1:8" x14ac:dyDescent="0.2">
      <c r="A39" t="s">
        <v>87</v>
      </c>
      <c r="B39" t="s">
        <v>88</v>
      </c>
      <c r="C39" t="s">
        <v>10</v>
      </c>
      <c r="D39" t="s">
        <v>11</v>
      </c>
      <c r="E39" t="s">
        <v>12</v>
      </c>
      <c r="F39" s="2">
        <v>44626</v>
      </c>
      <c r="H39" s="3">
        <v>22000</v>
      </c>
    </row>
    <row r="40" spans="1:8" x14ac:dyDescent="0.2">
      <c r="A40" t="s">
        <v>89</v>
      </c>
      <c r="B40" t="s">
        <v>90</v>
      </c>
      <c r="C40" t="s">
        <v>10</v>
      </c>
      <c r="D40" t="s">
        <v>11</v>
      </c>
      <c r="E40" t="s">
        <v>19</v>
      </c>
      <c r="F40" s="2">
        <v>45309</v>
      </c>
      <c r="H40" s="3">
        <v>30800</v>
      </c>
    </row>
    <row r="41" spans="1:8" x14ac:dyDescent="0.2">
      <c r="A41" t="s">
        <v>91</v>
      </c>
      <c r="B41" t="s">
        <v>92</v>
      </c>
      <c r="C41" t="s">
        <v>10</v>
      </c>
      <c r="D41" t="s">
        <v>11</v>
      </c>
      <c r="E41" t="s">
        <v>19</v>
      </c>
      <c r="F41" s="2">
        <v>44928</v>
      </c>
      <c r="G41" s="2">
        <v>46290</v>
      </c>
      <c r="H41" s="3">
        <v>28600</v>
      </c>
    </row>
    <row r="42" spans="1:8" x14ac:dyDescent="0.2">
      <c r="A42" t="s">
        <v>93</v>
      </c>
      <c r="B42" t="s">
        <v>94</v>
      </c>
      <c r="C42" t="s">
        <v>10</v>
      </c>
      <c r="D42" t="s">
        <v>11</v>
      </c>
      <c r="E42" t="s">
        <v>19</v>
      </c>
      <c r="F42" s="2">
        <v>46238</v>
      </c>
      <c r="H42" s="3">
        <v>19600</v>
      </c>
    </row>
    <row r="43" spans="1:8" x14ac:dyDescent="0.2">
      <c r="A43" t="s">
        <v>95</v>
      </c>
      <c r="B43" t="s">
        <v>96</v>
      </c>
      <c r="C43" t="s">
        <v>10</v>
      </c>
      <c r="D43" t="s">
        <v>11</v>
      </c>
      <c r="E43" t="s">
        <v>19</v>
      </c>
      <c r="F43" s="2">
        <v>44859</v>
      </c>
      <c r="H43" s="3">
        <v>15100</v>
      </c>
    </row>
    <row r="44" spans="1:8" x14ac:dyDescent="0.2">
      <c r="A44" t="s">
        <v>97</v>
      </c>
      <c r="B44" t="s">
        <v>98</v>
      </c>
      <c r="C44" t="s">
        <v>10</v>
      </c>
      <c r="D44" t="s">
        <v>26</v>
      </c>
      <c r="E44" t="s">
        <v>19</v>
      </c>
      <c r="F44" s="2">
        <v>44935</v>
      </c>
      <c r="H44" s="3">
        <v>23900</v>
      </c>
    </row>
    <row r="45" spans="1:8" x14ac:dyDescent="0.2">
      <c r="A45" t="s">
        <v>99</v>
      </c>
      <c r="B45" t="s">
        <v>100</v>
      </c>
      <c r="C45" t="s">
        <v>10</v>
      </c>
      <c r="D45" t="s">
        <v>11</v>
      </c>
      <c r="E45" t="s">
        <v>12</v>
      </c>
      <c r="F45" s="2">
        <v>46092</v>
      </c>
      <c r="H45" s="3">
        <v>8200</v>
      </c>
    </row>
    <row r="46" spans="1:8" x14ac:dyDescent="0.2">
      <c r="A46" t="s">
        <v>101</v>
      </c>
      <c r="B46" t="s">
        <v>102</v>
      </c>
      <c r="C46" t="s">
        <v>10</v>
      </c>
      <c r="D46" t="s">
        <v>26</v>
      </c>
      <c r="E46" t="s">
        <v>19</v>
      </c>
      <c r="F46" s="2">
        <v>45448</v>
      </c>
      <c r="H46" s="3">
        <v>25200</v>
      </c>
    </row>
    <row r="47" spans="1:8" x14ac:dyDescent="0.2">
      <c r="A47" t="s">
        <v>103</v>
      </c>
      <c r="B47" t="s">
        <v>104</v>
      </c>
      <c r="C47" t="s">
        <v>10</v>
      </c>
      <c r="D47" t="s">
        <v>26</v>
      </c>
      <c r="E47" t="s">
        <v>19</v>
      </c>
      <c r="F47" s="2">
        <v>46063</v>
      </c>
      <c r="H47" s="3">
        <v>26300</v>
      </c>
    </row>
    <row r="48" spans="1:8" x14ac:dyDescent="0.2">
      <c r="A48" t="s">
        <v>105</v>
      </c>
      <c r="B48" t="s">
        <v>106</v>
      </c>
      <c r="C48" t="s">
        <v>10</v>
      </c>
      <c r="D48" t="s">
        <v>11</v>
      </c>
      <c r="E48" t="s">
        <v>19</v>
      </c>
      <c r="F48" s="2">
        <v>45170</v>
      </c>
      <c r="G48" s="2">
        <v>46054</v>
      </c>
      <c r="H48" s="3">
        <v>18100</v>
      </c>
    </row>
    <row r="49" spans="1:8" x14ac:dyDescent="0.2">
      <c r="A49" t="s">
        <v>107</v>
      </c>
      <c r="B49" t="s">
        <v>108</v>
      </c>
      <c r="C49" t="s">
        <v>10</v>
      </c>
      <c r="D49" t="s">
        <v>26</v>
      </c>
      <c r="E49" t="s">
        <v>19</v>
      </c>
      <c r="F49" s="2">
        <v>45187</v>
      </c>
      <c r="H49" s="3">
        <v>10000</v>
      </c>
    </row>
    <row r="50" spans="1:8" x14ac:dyDescent="0.2">
      <c r="A50" t="s">
        <v>109</v>
      </c>
      <c r="B50" t="s">
        <v>110</v>
      </c>
      <c r="C50" t="s">
        <v>10</v>
      </c>
      <c r="D50" t="s">
        <v>11</v>
      </c>
      <c r="E50" t="s">
        <v>19</v>
      </c>
      <c r="F50" s="2">
        <v>45620</v>
      </c>
      <c r="H50" s="3">
        <v>15800</v>
      </c>
    </row>
    <row r="51" spans="1:8" x14ac:dyDescent="0.2">
      <c r="A51" t="s">
        <v>111</v>
      </c>
      <c r="B51" t="s">
        <v>112</v>
      </c>
      <c r="C51" t="s">
        <v>10</v>
      </c>
      <c r="D51" t="s">
        <v>26</v>
      </c>
      <c r="E51" t="s">
        <v>12</v>
      </c>
      <c r="F51" s="2">
        <v>44916</v>
      </c>
      <c r="H51" s="3">
        <v>21800</v>
      </c>
    </row>
    <row r="52" spans="1:8" x14ac:dyDescent="0.2">
      <c r="A52" t="s">
        <v>113</v>
      </c>
      <c r="B52" t="s">
        <v>114</v>
      </c>
      <c r="C52" t="s">
        <v>10</v>
      </c>
      <c r="D52" t="s">
        <v>26</v>
      </c>
      <c r="E52" t="s">
        <v>19</v>
      </c>
      <c r="F52" s="2">
        <v>46044</v>
      </c>
      <c r="H52" s="3">
        <v>25400</v>
      </c>
    </row>
    <row r="53" spans="1:8" x14ac:dyDescent="0.2">
      <c r="A53" t="s">
        <v>115</v>
      </c>
      <c r="B53" t="s">
        <v>116</v>
      </c>
      <c r="C53" t="s">
        <v>10</v>
      </c>
      <c r="D53" t="s">
        <v>26</v>
      </c>
      <c r="E53" t="s">
        <v>19</v>
      </c>
      <c r="F53" s="2">
        <v>46241</v>
      </c>
      <c r="H53" s="3">
        <v>14100</v>
      </c>
    </row>
    <row r="54" spans="1:8" x14ac:dyDescent="0.2">
      <c r="A54" t="s">
        <v>117</v>
      </c>
      <c r="B54" t="s">
        <v>118</v>
      </c>
      <c r="C54" t="s">
        <v>10</v>
      </c>
      <c r="D54" t="s">
        <v>11</v>
      </c>
      <c r="E54" t="s">
        <v>19</v>
      </c>
      <c r="F54" s="2">
        <v>45442</v>
      </c>
      <c r="H54" s="3">
        <v>22600</v>
      </c>
    </row>
    <row r="55" spans="1:8" x14ac:dyDescent="0.2">
      <c r="A55" t="s">
        <v>119</v>
      </c>
      <c r="B55" t="s">
        <v>120</v>
      </c>
      <c r="C55" t="s">
        <v>10</v>
      </c>
      <c r="D55" t="s">
        <v>11</v>
      </c>
      <c r="E55" t="s">
        <v>19</v>
      </c>
      <c r="F55" s="2">
        <v>45539</v>
      </c>
      <c r="H55" s="3">
        <v>27400</v>
      </c>
    </row>
    <row r="56" spans="1:8" x14ac:dyDescent="0.2">
      <c r="A56" t="s">
        <v>121</v>
      </c>
      <c r="B56" t="s">
        <v>122</v>
      </c>
      <c r="C56" t="s">
        <v>10</v>
      </c>
      <c r="D56" t="s">
        <v>11</v>
      </c>
      <c r="E56" t="s">
        <v>12</v>
      </c>
      <c r="F56" s="2">
        <v>45299</v>
      </c>
      <c r="H56" s="3">
        <v>28100</v>
      </c>
    </row>
    <row r="57" spans="1:8" x14ac:dyDescent="0.2">
      <c r="A57" t="s">
        <v>123</v>
      </c>
      <c r="B57" t="s">
        <v>124</v>
      </c>
      <c r="C57" t="s">
        <v>10</v>
      </c>
      <c r="D57" t="s">
        <v>11</v>
      </c>
      <c r="E57" t="s">
        <v>19</v>
      </c>
      <c r="F57" s="2">
        <v>45952</v>
      </c>
      <c r="H57" s="3">
        <v>11900</v>
      </c>
    </row>
    <row r="58" spans="1:8" x14ac:dyDescent="0.2">
      <c r="A58" t="s">
        <v>125</v>
      </c>
      <c r="B58" t="s">
        <v>126</v>
      </c>
      <c r="C58" t="s">
        <v>10</v>
      </c>
      <c r="D58" t="s">
        <v>11</v>
      </c>
      <c r="E58" t="s">
        <v>12</v>
      </c>
      <c r="F58" s="2">
        <v>45542</v>
      </c>
      <c r="H58" s="3">
        <v>23400</v>
      </c>
    </row>
    <row r="59" spans="1:8" x14ac:dyDescent="0.2">
      <c r="A59" t="s">
        <v>127</v>
      </c>
      <c r="B59" t="s">
        <v>128</v>
      </c>
      <c r="C59" t="s">
        <v>10</v>
      </c>
      <c r="D59" t="s">
        <v>26</v>
      </c>
      <c r="E59" t="s">
        <v>19</v>
      </c>
      <c r="F59" s="2">
        <v>44607</v>
      </c>
      <c r="H59" s="3">
        <v>10800</v>
      </c>
    </row>
    <row r="60" spans="1:8" x14ac:dyDescent="0.2">
      <c r="A60" t="s">
        <v>129</v>
      </c>
      <c r="B60" t="s">
        <v>130</v>
      </c>
      <c r="C60" t="s">
        <v>10</v>
      </c>
      <c r="D60" t="s">
        <v>11</v>
      </c>
      <c r="E60" t="s">
        <v>19</v>
      </c>
      <c r="F60" s="2">
        <v>46184</v>
      </c>
      <c r="H60" s="3">
        <v>25400</v>
      </c>
    </row>
    <row r="61" spans="1:8" x14ac:dyDescent="0.2">
      <c r="A61" t="s">
        <v>131</v>
      </c>
      <c r="B61" t="s">
        <v>132</v>
      </c>
      <c r="C61" t="s">
        <v>10</v>
      </c>
      <c r="D61" t="s">
        <v>11</v>
      </c>
      <c r="E61" t="s">
        <v>19</v>
      </c>
      <c r="F61" s="2">
        <v>44680</v>
      </c>
      <c r="G61" s="2">
        <v>46267</v>
      </c>
      <c r="H61" s="3">
        <v>31200</v>
      </c>
    </row>
    <row r="62" spans="1:8" x14ac:dyDescent="0.2">
      <c r="A62" t="s">
        <v>133</v>
      </c>
      <c r="B62" t="s">
        <v>134</v>
      </c>
      <c r="C62" t="s">
        <v>10</v>
      </c>
      <c r="D62" t="s">
        <v>26</v>
      </c>
      <c r="E62" t="s">
        <v>19</v>
      </c>
      <c r="F62" s="2">
        <v>45367</v>
      </c>
      <c r="H62" s="3">
        <v>26600</v>
      </c>
    </row>
    <row r="63" spans="1:8" x14ac:dyDescent="0.2">
      <c r="A63" t="s">
        <v>135</v>
      </c>
      <c r="B63" t="s">
        <v>136</v>
      </c>
      <c r="C63" t="s">
        <v>10</v>
      </c>
      <c r="D63" t="s">
        <v>11</v>
      </c>
      <c r="E63" t="s">
        <v>12</v>
      </c>
      <c r="F63" s="2">
        <v>45596</v>
      </c>
      <c r="H63" s="3">
        <v>13100</v>
      </c>
    </row>
    <row r="64" spans="1:8" x14ac:dyDescent="0.2">
      <c r="A64" t="s">
        <v>137</v>
      </c>
      <c r="B64" t="s">
        <v>138</v>
      </c>
      <c r="C64" t="s">
        <v>10</v>
      </c>
      <c r="D64" t="s">
        <v>11</v>
      </c>
      <c r="E64" t="s">
        <v>19</v>
      </c>
      <c r="F64" s="2">
        <v>45226</v>
      </c>
      <c r="H64" s="3">
        <v>9300</v>
      </c>
    </row>
    <row r="65" spans="1:8" x14ac:dyDescent="0.2">
      <c r="A65" t="s">
        <v>139</v>
      </c>
      <c r="B65" t="s">
        <v>140</v>
      </c>
      <c r="C65" t="s">
        <v>10</v>
      </c>
      <c r="D65" t="s">
        <v>26</v>
      </c>
      <c r="E65" t="s">
        <v>12</v>
      </c>
      <c r="F65" s="2">
        <v>45551</v>
      </c>
      <c r="H65" s="3">
        <v>31800</v>
      </c>
    </row>
    <row r="66" spans="1:8" x14ac:dyDescent="0.2">
      <c r="A66" t="s">
        <v>141</v>
      </c>
      <c r="B66" t="s">
        <v>142</v>
      </c>
      <c r="C66" t="s">
        <v>10</v>
      </c>
      <c r="D66" t="s">
        <v>11</v>
      </c>
      <c r="E66" t="s">
        <v>19</v>
      </c>
      <c r="F66" s="2">
        <v>45402</v>
      </c>
      <c r="H66" s="3">
        <v>24900</v>
      </c>
    </row>
    <row r="67" spans="1:8" x14ac:dyDescent="0.2">
      <c r="A67" t="s">
        <v>143</v>
      </c>
      <c r="B67" t="s">
        <v>144</v>
      </c>
      <c r="C67" t="s">
        <v>10</v>
      </c>
      <c r="D67" t="s">
        <v>11</v>
      </c>
      <c r="E67" t="s">
        <v>19</v>
      </c>
      <c r="F67" s="2">
        <v>45224</v>
      </c>
      <c r="H67" s="3">
        <v>15300</v>
      </c>
    </row>
    <row r="68" spans="1:8" x14ac:dyDescent="0.2">
      <c r="A68" t="s">
        <v>145</v>
      </c>
      <c r="B68" t="s">
        <v>146</v>
      </c>
      <c r="C68" t="s">
        <v>10</v>
      </c>
      <c r="D68" t="s">
        <v>26</v>
      </c>
      <c r="E68" t="s">
        <v>12</v>
      </c>
      <c r="F68" s="2">
        <v>45233</v>
      </c>
      <c r="H68" s="3">
        <v>12100</v>
      </c>
    </row>
    <row r="69" spans="1:8" x14ac:dyDescent="0.2">
      <c r="A69" t="s">
        <v>147</v>
      </c>
      <c r="B69" t="s">
        <v>148</v>
      </c>
      <c r="C69" t="s">
        <v>10</v>
      </c>
      <c r="D69" t="s">
        <v>11</v>
      </c>
      <c r="E69" t="s">
        <v>12</v>
      </c>
      <c r="F69" s="2">
        <v>45776</v>
      </c>
      <c r="H69" s="3">
        <v>26800</v>
      </c>
    </row>
    <row r="70" spans="1:8" x14ac:dyDescent="0.2">
      <c r="A70" t="s">
        <v>149</v>
      </c>
      <c r="B70" t="s">
        <v>150</v>
      </c>
      <c r="C70" t="s">
        <v>10</v>
      </c>
      <c r="D70" t="s">
        <v>11</v>
      </c>
      <c r="E70" t="s">
        <v>19</v>
      </c>
      <c r="F70" s="2">
        <v>45360</v>
      </c>
      <c r="H70" s="3">
        <v>14500</v>
      </c>
    </row>
    <row r="71" spans="1:8" x14ac:dyDescent="0.2">
      <c r="A71" t="s">
        <v>151</v>
      </c>
      <c r="B71" t="s">
        <v>152</v>
      </c>
      <c r="C71" t="s">
        <v>10</v>
      </c>
      <c r="D71" t="s">
        <v>11</v>
      </c>
      <c r="E71" t="s">
        <v>19</v>
      </c>
      <c r="F71" s="2">
        <v>46153</v>
      </c>
      <c r="H71" s="3">
        <v>28300</v>
      </c>
    </row>
    <row r="72" spans="1:8" x14ac:dyDescent="0.2">
      <c r="A72" t="s">
        <v>153</v>
      </c>
      <c r="B72" t="s">
        <v>154</v>
      </c>
      <c r="C72" t="s">
        <v>10</v>
      </c>
      <c r="D72" t="s">
        <v>26</v>
      </c>
      <c r="E72" t="s">
        <v>12</v>
      </c>
      <c r="F72" s="2">
        <v>45414</v>
      </c>
      <c r="H72" s="3">
        <v>24400</v>
      </c>
    </row>
    <row r="73" spans="1:8" x14ac:dyDescent="0.2">
      <c r="A73" t="s">
        <v>155</v>
      </c>
      <c r="B73" t="s">
        <v>156</v>
      </c>
      <c r="C73" t="s">
        <v>10</v>
      </c>
      <c r="D73" t="s">
        <v>11</v>
      </c>
      <c r="E73" t="s">
        <v>12</v>
      </c>
      <c r="F73" s="2">
        <v>45765</v>
      </c>
      <c r="H73" s="3">
        <v>31300</v>
      </c>
    </row>
    <row r="74" spans="1:8" x14ac:dyDescent="0.2">
      <c r="A74" t="s">
        <v>157</v>
      </c>
      <c r="B74" t="s">
        <v>158</v>
      </c>
      <c r="C74" t="s">
        <v>10</v>
      </c>
      <c r="D74" t="s">
        <v>11</v>
      </c>
      <c r="E74" t="s">
        <v>19</v>
      </c>
      <c r="F74" s="2">
        <v>45015</v>
      </c>
      <c r="H74" s="3">
        <v>29900</v>
      </c>
    </row>
    <row r="75" spans="1:8" x14ac:dyDescent="0.2">
      <c r="A75" t="s">
        <v>159</v>
      </c>
      <c r="B75" t="s">
        <v>160</v>
      </c>
      <c r="C75" t="s">
        <v>10</v>
      </c>
      <c r="D75" t="s">
        <v>26</v>
      </c>
      <c r="E75" t="s">
        <v>19</v>
      </c>
      <c r="F75" s="2">
        <v>45191</v>
      </c>
      <c r="H75" s="3">
        <v>31700</v>
      </c>
    </row>
    <row r="76" spans="1:8" x14ac:dyDescent="0.2">
      <c r="A76" t="s">
        <v>161</v>
      </c>
      <c r="B76" t="s">
        <v>162</v>
      </c>
      <c r="C76" t="s">
        <v>10</v>
      </c>
      <c r="D76" t="s">
        <v>11</v>
      </c>
      <c r="E76" t="s">
        <v>12</v>
      </c>
      <c r="F76" s="2">
        <v>45449</v>
      </c>
      <c r="H76" s="3">
        <v>16300</v>
      </c>
    </row>
    <row r="77" spans="1:8" x14ac:dyDescent="0.2">
      <c r="A77" t="s">
        <v>163</v>
      </c>
      <c r="B77" t="s">
        <v>164</v>
      </c>
      <c r="C77" t="s">
        <v>10</v>
      </c>
      <c r="D77" t="s">
        <v>26</v>
      </c>
      <c r="E77" t="s">
        <v>19</v>
      </c>
      <c r="F77" s="2">
        <v>46197</v>
      </c>
      <c r="H77" s="3">
        <v>15700</v>
      </c>
    </row>
    <row r="78" spans="1:8" x14ac:dyDescent="0.2">
      <c r="A78" t="s">
        <v>165</v>
      </c>
      <c r="B78" t="s">
        <v>166</v>
      </c>
      <c r="C78" t="s">
        <v>10</v>
      </c>
      <c r="D78" t="s">
        <v>11</v>
      </c>
      <c r="E78" t="s">
        <v>12</v>
      </c>
      <c r="F78" s="2">
        <v>45020</v>
      </c>
      <c r="H78" s="3">
        <v>11100</v>
      </c>
    </row>
    <row r="79" spans="1:8" x14ac:dyDescent="0.2">
      <c r="A79" t="s">
        <v>167</v>
      </c>
      <c r="B79" t="s">
        <v>168</v>
      </c>
      <c r="C79" t="s">
        <v>10</v>
      </c>
      <c r="D79" t="s">
        <v>11</v>
      </c>
      <c r="E79" t="s">
        <v>19</v>
      </c>
      <c r="F79" s="2">
        <v>45205</v>
      </c>
      <c r="H79" s="3">
        <v>27400</v>
      </c>
    </row>
    <row r="80" spans="1:8" x14ac:dyDescent="0.2">
      <c r="A80" t="s">
        <v>169</v>
      </c>
      <c r="B80" t="s">
        <v>170</v>
      </c>
      <c r="C80" t="s">
        <v>10</v>
      </c>
      <c r="D80" t="s">
        <v>11</v>
      </c>
      <c r="E80" t="s">
        <v>12</v>
      </c>
      <c r="F80" s="2">
        <v>44600</v>
      </c>
      <c r="H80" s="3">
        <v>26300</v>
      </c>
    </row>
    <row r="81" spans="1:8" x14ac:dyDescent="0.2">
      <c r="A81" t="s">
        <v>171</v>
      </c>
      <c r="B81" t="s">
        <v>172</v>
      </c>
      <c r="C81" t="s">
        <v>10</v>
      </c>
      <c r="D81" t="s">
        <v>26</v>
      </c>
      <c r="E81" t="s">
        <v>19</v>
      </c>
      <c r="F81" s="2">
        <v>46254</v>
      </c>
      <c r="H81" s="3">
        <v>26500</v>
      </c>
    </row>
    <row r="82" spans="1:8" x14ac:dyDescent="0.2">
      <c r="A82" t="s">
        <v>173</v>
      </c>
      <c r="B82" t="s">
        <v>174</v>
      </c>
      <c r="C82" t="s">
        <v>10</v>
      </c>
      <c r="D82" t="s">
        <v>11</v>
      </c>
      <c r="E82" t="s">
        <v>19</v>
      </c>
      <c r="F82" s="2">
        <v>44573</v>
      </c>
      <c r="H82" s="3">
        <v>19000</v>
      </c>
    </row>
    <row r="83" spans="1:8" x14ac:dyDescent="0.2">
      <c r="A83" t="s">
        <v>175</v>
      </c>
      <c r="B83" t="s">
        <v>176</v>
      </c>
      <c r="C83" t="s">
        <v>10</v>
      </c>
      <c r="D83" t="s">
        <v>11</v>
      </c>
      <c r="E83" t="s">
        <v>19</v>
      </c>
      <c r="F83" s="2">
        <v>46032</v>
      </c>
      <c r="H83" s="3">
        <v>31400</v>
      </c>
    </row>
    <row r="84" spans="1:8" x14ac:dyDescent="0.2">
      <c r="A84" t="s">
        <v>177</v>
      </c>
      <c r="B84" t="s">
        <v>178</v>
      </c>
      <c r="C84" t="s">
        <v>10</v>
      </c>
      <c r="D84" t="s">
        <v>26</v>
      </c>
      <c r="E84" t="s">
        <v>19</v>
      </c>
      <c r="F84" s="2">
        <v>45408</v>
      </c>
      <c r="H84" s="3">
        <v>28400</v>
      </c>
    </row>
    <row r="85" spans="1:8" x14ac:dyDescent="0.2">
      <c r="A85" t="s">
        <v>179</v>
      </c>
      <c r="B85" t="s">
        <v>180</v>
      </c>
      <c r="C85" t="s">
        <v>10</v>
      </c>
      <c r="D85" t="s">
        <v>11</v>
      </c>
      <c r="E85" t="s">
        <v>12</v>
      </c>
      <c r="F85" s="2">
        <v>45234</v>
      </c>
      <c r="G85" s="2">
        <v>46286</v>
      </c>
      <c r="H85" s="3">
        <v>20900</v>
      </c>
    </row>
    <row r="86" spans="1:8" x14ac:dyDescent="0.2">
      <c r="A86" t="s">
        <v>181</v>
      </c>
      <c r="B86" t="s">
        <v>182</v>
      </c>
      <c r="C86" t="s">
        <v>10</v>
      </c>
      <c r="D86" t="s">
        <v>26</v>
      </c>
      <c r="E86" t="s">
        <v>19</v>
      </c>
      <c r="F86" s="2">
        <v>44672</v>
      </c>
      <c r="H86" s="3">
        <v>11000</v>
      </c>
    </row>
    <row r="87" spans="1:8" x14ac:dyDescent="0.2">
      <c r="A87" t="s">
        <v>183</v>
      </c>
      <c r="B87" t="s">
        <v>184</v>
      </c>
      <c r="C87" t="s">
        <v>10</v>
      </c>
      <c r="D87" t="s">
        <v>11</v>
      </c>
      <c r="E87" t="s">
        <v>19</v>
      </c>
      <c r="F87" s="2">
        <v>45683</v>
      </c>
      <c r="H87" s="3">
        <v>10600</v>
      </c>
    </row>
    <row r="88" spans="1:8" x14ac:dyDescent="0.2">
      <c r="A88" t="s">
        <v>185</v>
      </c>
      <c r="B88" t="s">
        <v>186</v>
      </c>
      <c r="C88" t="s">
        <v>10</v>
      </c>
      <c r="D88" t="s">
        <v>26</v>
      </c>
      <c r="E88" t="s">
        <v>12</v>
      </c>
      <c r="F88" s="2">
        <v>45416</v>
      </c>
      <c r="H88" s="3">
        <v>17100</v>
      </c>
    </row>
    <row r="89" spans="1:8" x14ac:dyDescent="0.2">
      <c r="A89" t="s">
        <v>187</v>
      </c>
      <c r="B89" t="s">
        <v>188</v>
      </c>
      <c r="C89" t="s">
        <v>10</v>
      </c>
      <c r="D89" t="s">
        <v>11</v>
      </c>
      <c r="E89" t="s">
        <v>19</v>
      </c>
      <c r="F89" s="2">
        <v>44911</v>
      </c>
      <c r="H89" s="3">
        <v>11100</v>
      </c>
    </row>
    <row r="90" spans="1:8" x14ac:dyDescent="0.2">
      <c r="A90" t="s">
        <v>189</v>
      </c>
      <c r="B90" t="s">
        <v>190</v>
      </c>
      <c r="C90" t="s">
        <v>10</v>
      </c>
      <c r="D90" t="s">
        <v>11</v>
      </c>
      <c r="E90" t="s">
        <v>19</v>
      </c>
      <c r="F90" s="2">
        <v>46216</v>
      </c>
      <c r="H90" s="3">
        <v>14600</v>
      </c>
    </row>
    <row r="91" spans="1:8" x14ac:dyDescent="0.2">
      <c r="A91" t="s">
        <v>191</v>
      </c>
      <c r="B91" t="s">
        <v>192</v>
      </c>
      <c r="C91" t="s">
        <v>10</v>
      </c>
      <c r="D91" t="s">
        <v>26</v>
      </c>
      <c r="E91" t="s">
        <v>12</v>
      </c>
      <c r="F91" s="2">
        <v>45528</v>
      </c>
      <c r="H91" s="3">
        <v>18900</v>
      </c>
    </row>
    <row r="92" spans="1:8" x14ac:dyDescent="0.2">
      <c r="A92" t="s">
        <v>193</v>
      </c>
      <c r="B92" t="s">
        <v>194</v>
      </c>
      <c r="C92" t="s">
        <v>195</v>
      </c>
      <c r="D92" t="s">
        <v>11</v>
      </c>
      <c r="E92" t="s">
        <v>12</v>
      </c>
      <c r="F92" s="2">
        <v>45049</v>
      </c>
      <c r="H92" s="3">
        <v>157200</v>
      </c>
    </row>
    <row r="93" spans="1:8" x14ac:dyDescent="0.2">
      <c r="A93" t="s">
        <v>196</v>
      </c>
      <c r="B93" t="s">
        <v>197</v>
      </c>
      <c r="C93" t="s">
        <v>195</v>
      </c>
      <c r="D93" t="s">
        <v>11</v>
      </c>
      <c r="E93" t="s">
        <v>19</v>
      </c>
      <c r="F93" s="2">
        <v>44993</v>
      </c>
      <c r="G93" s="2">
        <v>46124</v>
      </c>
      <c r="H93" s="3">
        <v>137000</v>
      </c>
    </row>
    <row r="94" spans="1:8" x14ac:dyDescent="0.2">
      <c r="A94" t="s">
        <v>198</v>
      </c>
      <c r="B94" t="s">
        <v>199</v>
      </c>
      <c r="C94" t="s">
        <v>195</v>
      </c>
      <c r="D94" t="s">
        <v>11</v>
      </c>
      <c r="E94" t="s">
        <v>19</v>
      </c>
      <c r="F94" s="2">
        <v>45661</v>
      </c>
      <c r="H94" s="3">
        <v>120000</v>
      </c>
    </row>
    <row r="95" spans="1:8" x14ac:dyDescent="0.2">
      <c r="A95" t="s">
        <v>200</v>
      </c>
      <c r="B95" t="s">
        <v>201</v>
      </c>
      <c r="C95" t="s">
        <v>195</v>
      </c>
      <c r="D95" t="s">
        <v>26</v>
      </c>
      <c r="E95" t="s">
        <v>19</v>
      </c>
      <c r="F95" s="2">
        <v>45334</v>
      </c>
      <c r="H95" s="3">
        <v>152000</v>
      </c>
    </row>
    <row r="96" spans="1:8" x14ac:dyDescent="0.2">
      <c r="A96" t="s">
        <v>202</v>
      </c>
      <c r="B96" t="s">
        <v>203</v>
      </c>
      <c r="C96" t="s">
        <v>195</v>
      </c>
      <c r="D96" t="s">
        <v>11</v>
      </c>
      <c r="E96" t="s">
        <v>19</v>
      </c>
      <c r="F96" s="2">
        <v>45427</v>
      </c>
      <c r="G96" s="2">
        <v>46082</v>
      </c>
      <c r="H96" s="3">
        <v>116600</v>
      </c>
    </row>
    <row r="97" spans="1:8" x14ac:dyDescent="0.2">
      <c r="A97" t="s">
        <v>204</v>
      </c>
      <c r="B97" t="s">
        <v>205</v>
      </c>
      <c r="C97" t="s">
        <v>195</v>
      </c>
      <c r="D97" t="s">
        <v>26</v>
      </c>
      <c r="E97" t="s">
        <v>19</v>
      </c>
      <c r="F97" s="2">
        <v>46159</v>
      </c>
      <c r="H97" s="3">
        <v>112400</v>
      </c>
    </row>
    <row r="98" spans="1:8" x14ac:dyDescent="0.2">
      <c r="A98" t="s">
        <v>206</v>
      </c>
      <c r="B98" t="s">
        <v>207</v>
      </c>
      <c r="C98" t="s">
        <v>195</v>
      </c>
      <c r="D98" t="s">
        <v>11</v>
      </c>
      <c r="E98" t="s">
        <v>19</v>
      </c>
      <c r="F98" s="2">
        <v>45849</v>
      </c>
      <c r="H98" s="3">
        <v>87500</v>
      </c>
    </row>
    <row r="99" spans="1:8" x14ac:dyDescent="0.2">
      <c r="A99" t="s">
        <v>208</v>
      </c>
      <c r="B99" t="s">
        <v>209</v>
      </c>
      <c r="C99" t="s">
        <v>195</v>
      </c>
      <c r="D99" t="s">
        <v>11</v>
      </c>
      <c r="E99" t="s">
        <v>12</v>
      </c>
      <c r="F99" s="2">
        <v>45086</v>
      </c>
      <c r="H99" s="3">
        <v>91400</v>
      </c>
    </row>
    <row r="100" spans="1:8" x14ac:dyDescent="0.2">
      <c r="A100" t="s">
        <v>210</v>
      </c>
      <c r="B100" t="s">
        <v>211</v>
      </c>
      <c r="C100" t="s">
        <v>195</v>
      </c>
      <c r="D100" t="s">
        <v>11</v>
      </c>
      <c r="E100" t="s">
        <v>19</v>
      </c>
      <c r="F100" s="2">
        <v>44838</v>
      </c>
      <c r="H100" s="3">
        <v>99300</v>
      </c>
    </row>
    <row r="101" spans="1:8" x14ac:dyDescent="0.2">
      <c r="A101" t="s">
        <v>212</v>
      </c>
      <c r="B101" t="s">
        <v>213</v>
      </c>
      <c r="C101" t="s">
        <v>195</v>
      </c>
      <c r="D101" t="s">
        <v>11</v>
      </c>
      <c r="E101" t="s">
        <v>19</v>
      </c>
      <c r="F101" s="2">
        <v>46184</v>
      </c>
      <c r="H101" s="3">
        <v>97900</v>
      </c>
    </row>
    <row r="102" spans="1:8" x14ac:dyDescent="0.2">
      <c r="A102" t="s">
        <v>214</v>
      </c>
      <c r="B102" t="s">
        <v>215</v>
      </c>
      <c r="C102" t="s">
        <v>195</v>
      </c>
      <c r="D102" t="s">
        <v>11</v>
      </c>
      <c r="E102" t="s">
        <v>12</v>
      </c>
      <c r="F102" s="2">
        <v>45446</v>
      </c>
      <c r="H102" s="3">
        <v>89100</v>
      </c>
    </row>
    <row r="103" spans="1:8" x14ac:dyDescent="0.2">
      <c r="A103" t="s">
        <v>216</v>
      </c>
      <c r="B103" t="s">
        <v>217</v>
      </c>
      <c r="C103" t="s">
        <v>195</v>
      </c>
      <c r="D103" t="s">
        <v>26</v>
      </c>
      <c r="E103" t="s">
        <v>19</v>
      </c>
      <c r="F103" s="2">
        <v>45210</v>
      </c>
      <c r="H103" s="3">
        <v>150300</v>
      </c>
    </row>
    <row r="104" spans="1:8" x14ac:dyDescent="0.2">
      <c r="A104" t="s">
        <v>218</v>
      </c>
      <c r="B104" t="s">
        <v>219</v>
      </c>
      <c r="C104" t="s">
        <v>195</v>
      </c>
      <c r="D104" t="s">
        <v>11</v>
      </c>
      <c r="E104" t="s">
        <v>12</v>
      </c>
      <c r="F104" s="2">
        <v>45016</v>
      </c>
      <c r="H104" s="3">
        <v>75100</v>
      </c>
    </row>
    <row r="105" spans="1:8" x14ac:dyDescent="0.2">
      <c r="A105" t="s">
        <v>220</v>
      </c>
      <c r="B105" t="s">
        <v>221</v>
      </c>
      <c r="C105" t="s">
        <v>195</v>
      </c>
      <c r="D105" t="s">
        <v>26</v>
      </c>
      <c r="E105" t="s">
        <v>19</v>
      </c>
      <c r="F105" s="2">
        <v>45064</v>
      </c>
      <c r="H105" s="3">
        <v>159400</v>
      </c>
    </row>
    <row r="106" spans="1:8" x14ac:dyDescent="0.2">
      <c r="A106" t="s">
        <v>222</v>
      </c>
      <c r="B106" t="s">
        <v>223</v>
      </c>
      <c r="C106" t="s">
        <v>195</v>
      </c>
      <c r="D106" t="s">
        <v>11</v>
      </c>
      <c r="E106" t="s">
        <v>19</v>
      </c>
      <c r="F106" s="2">
        <v>44629</v>
      </c>
      <c r="H106" s="3">
        <v>106100</v>
      </c>
    </row>
    <row r="107" spans="1:8" x14ac:dyDescent="0.2">
      <c r="A107" t="s">
        <v>224</v>
      </c>
      <c r="B107" t="s">
        <v>225</v>
      </c>
      <c r="C107" t="s">
        <v>195</v>
      </c>
      <c r="D107" t="s">
        <v>11</v>
      </c>
      <c r="E107" t="s">
        <v>19</v>
      </c>
      <c r="F107" s="2">
        <v>45680</v>
      </c>
      <c r="H107" s="3">
        <v>120400</v>
      </c>
    </row>
    <row r="108" spans="1:8" x14ac:dyDescent="0.2">
      <c r="A108" t="s">
        <v>226</v>
      </c>
      <c r="B108" t="s">
        <v>227</v>
      </c>
      <c r="C108" t="s">
        <v>195</v>
      </c>
      <c r="D108" t="s">
        <v>11</v>
      </c>
      <c r="E108" t="s">
        <v>12</v>
      </c>
      <c r="F108" s="2">
        <v>45641</v>
      </c>
      <c r="H108" s="3">
        <v>76000</v>
      </c>
    </row>
    <row r="109" spans="1:8" x14ac:dyDescent="0.2">
      <c r="A109" t="s">
        <v>228</v>
      </c>
      <c r="B109" t="s">
        <v>229</v>
      </c>
      <c r="C109" t="s">
        <v>195</v>
      </c>
      <c r="D109" t="s">
        <v>11</v>
      </c>
      <c r="E109" t="s">
        <v>12</v>
      </c>
      <c r="F109" s="2">
        <v>46159</v>
      </c>
      <c r="H109" s="3">
        <v>143800</v>
      </c>
    </row>
    <row r="110" spans="1:8" x14ac:dyDescent="0.2">
      <c r="A110" t="s">
        <v>230</v>
      </c>
      <c r="B110" t="s">
        <v>231</v>
      </c>
      <c r="C110" t="s">
        <v>195</v>
      </c>
      <c r="D110" t="s">
        <v>11</v>
      </c>
      <c r="E110" t="s">
        <v>19</v>
      </c>
      <c r="F110" s="2">
        <v>46042</v>
      </c>
      <c r="H110" s="3">
        <v>71500</v>
      </c>
    </row>
    <row r="111" spans="1:8" x14ac:dyDescent="0.2">
      <c r="A111" t="s">
        <v>232</v>
      </c>
      <c r="B111" t="s">
        <v>233</v>
      </c>
      <c r="C111" t="s">
        <v>195</v>
      </c>
      <c r="D111" t="s">
        <v>11</v>
      </c>
      <c r="E111" t="s">
        <v>19</v>
      </c>
      <c r="F111" s="2">
        <v>45482</v>
      </c>
      <c r="H111" s="3">
        <v>110200</v>
      </c>
    </row>
    <row r="112" spans="1:8" x14ac:dyDescent="0.2">
      <c r="A112" t="s">
        <v>234</v>
      </c>
      <c r="B112" t="s">
        <v>235</v>
      </c>
      <c r="C112" t="s">
        <v>195</v>
      </c>
      <c r="D112" t="s">
        <v>11</v>
      </c>
      <c r="E112" t="s">
        <v>19</v>
      </c>
      <c r="F112" s="2">
        <v>45345</v>
      </c>
      <c r="H112" s="3">
        <v>109300</v>
      </c>
    </row>
    <row r="113" spans="1:8" x14ac:dyDescent="0.2">
      <c r="A113" t="s">
        <v>236</v>
      </c>
      <c r="B113" t="s">
        <v>237</v>
      </c>
      <c r="C113" t="s">
        <v>195</v>
      </c>
      <c r="D113" t="s">
        <v>11</v>
      </c>
      <c r="E113" t="s">
        <v>12</v>
      </c>
      <c r="F113" s="2">
        <v>45379</v>
      </c>
      <c r="H113" s="3">
        <v>153200</v>
      </c>
    </row>
    <row r="114" spans="1:8" x14ac:dyDescent="0.2">
      <c r="A114" t="s">
        <v>238</v>
      </c>
      <c r="B114" t="s">
        <v>239</v>
      </c>
      <c r="C114" t="s">
        <v>195</v>
      </c>
      <c r="D114" t="s">
        <v>11</v>
      </c>
      <c r="E114" t="s">
        <v>19</v>
      </c>
      <c r="F114" s="2">
        <v>45511</v>
      </c>
      <c r="H114" s="3">
        <v>128700</v>
      </c>
    </row>
    <row r="115" spans="1:8" x14ac:dyDescent="0.2">
      <c r="A115" t="s">
        <v>240</v>
      </c>
      <c r="B115" t="s">
        <v>241</v>
      </c>
      <c r="C115" t="s">
        <v>195</v>
      </c>
      <c r="D115" t="s">
        <v>11</v>
      </c>
      <c r="E115" t="s">
        <v>19</v>
      </c>
      <c r="F115" s="2">
        <v>45682</v>
      </c>
      <c r="H115" s="3">
        <v>99200</v>
      </c>
    </row>
    <row r="116" spans="1:8" x14ac:dyDescent="0.2">
      <c r="A116" t="s">
        <v>242</v>
      </c>
      <c r="B116" t="s">
        <v>243</v>
      </c>
      <c r="C116" t="s">
        <v>195</v>
      </c>
      <c r="D116" t="s">
        <v>26</v>
      </c>
      <c r="E116" t="s">
        <v>12</v>
      </c>
      <c r="F116" s="2">
        <v>45245</v>
      </c>
      <c r="H116" s="3">
        <v>50000</v>
      </c>
    </row>
    <row r="117" spans="1:8" x14ac:dyDescent="0.2">
      <c r="A117" t="s">
        <v>244</v>
      </c>
      <c r="B117" t="s">
        <v>245</v>
      </c>
      <c r="C117" t="s">
        <v>195</v>
      </c>
      <c r="D117" t="s">
        <v>26</v>
      </c>
      <c r="E117" t="s">
        <v>19</v>
      </c>
      <c r="F117" s="2">
        <v>46125</v>
      </c>
      <c r="H117" s="3">
        <v>80600</v>
      </c>
    </row>
    <row r="118" spans="1:8" x14ac:dyDescent="0.2">
      <c r="A118" t="s">
        <v>246</v>
      </c>
      <c r="B118" t="s">
        <v>247</v>
      </c>
      <c r="C118" t="s">
        <v>195</v>
      </c>
      <c r="D118" t="s">
        <v>11</v>
      </c>
      <c r="E118" t="s">
        <v>12</v>
      </c>
      <c r="F118" s="2">
        <v>46131</v>
      </c>
      <c r="H118" s="3">
        <v>105800</v>
      </c>
    </row>
    <row r="119" spans="1:8" x14ac:dyDescent="0.2">
      <c r="A119" t="s">
        <v>248</v>
      </c>
      <c r="B119" t="s">
        <v>249</v>
      </c>
      <c r="C119" t="s">
        <v>195</v>
      </c>
      <c r="D119" t="s">
        <v>11</v>
      </c>
      <c r="E119" t="s">
        <v>19</v>
      </c>
      <c r="F119" s="2">
        <v>45241</v>
      </c>
      <c r="H119" s="3">
        <v>76700</v>
      </c>
    </row>
    <row r="120" spans="1:8" x14ac:dyDescent="0.2">
      <c r="A120" t="s">
        <v>250</v>
      </c>
      <c r="B120" t="s">
        <v>251</v>
      </c>
      <c r="C120" t="s">
        <v>195</v>
      </c>
      <c r="D120" t="s">
        <v>11</v>
      </c>
      <c r="E120" t="s">
        <v>12</v>
      </c>
      <c r="F120" s="2">
        <v>45294</v>
      </c>
      <c r="H120" s="3">
        <v>140500</v>
      </c>
    </row>
    <row r="121" spans="1:8" x14ac:dyDescent="0.2">
      <c r="A121" t="s">
        <v>252</v>
      </c>
      <c r="B121" t="s">
        <v>253</v>
      </c>
      <c r="C121" t="s">
        <v>195</v>
      </c>
      <c r="D121" t="s">
        <v>26</v>
      </c>
      <c r="E121" t="s">
        <v>12</v>
      </c>
      <c r="F121" s="2">
        <v>45934</v>
      </c>
      <c r="H121" s="3">
        <v>99300</v>
      </c>
    </row>
    <row r="122" spans="1:8" x14ac:dyDescent="0.2">
      <c r="A122" t="s">
        <v>254</v>
      </c>
      <c r="B122" t="s">
        <v>255</v>
      </c>
      <c r="C122" t="s">
        <v>195</v>
      </c>
      <c r="D122" t="s">
        <v>11</v>
      </c>
      <c r="E122" t="s">
        <v>12</v>
      </c>
      <c r="F122" s="2">
        <v>45314</v>
      </c>
      <c r="H122" s="3">
        <v>52600</v>
      </c>
    </row>
    <row r="123" spans="1:8" x14ac:dyDescent="0.2">
      <c r="A123" t="s">
        <v>256</v>
      </c>
      <c r="B123" t="s">
        <v>257</v>
      </c>
      <c r="C123" t="s">
        <v>195</v>
      </c>
      <c r="D123" t="s">
        <v>11</v>
      </c>
      <c r="E123" t="s">
        <v>19</v>
      </c>
      <c r="F123" s="2">
        <v>45478</v>
      </c>
      <c r="H123" s="3">
        <v>148100</v>
      </c>
    </row>
    <row r="124" spans="1:8" x14ac:dyDescent="0.2">
      <c r="A124" t="s">
        <v>258</v>
      </c>
      <c r="B124" t="s">
        <v>259</v>
      </c>
      <c r="C124" t="s">
        <v>195</v>
      </c>
      <c r="D124" t="s">
        <v>26</v>
      </c>
      <c r="E124" t="s">
        <v>19</v>
      </c>
      <c r="F124" s="2">
        <v>45540</v>
      </c>
      <c r="H124" s="3">
        <v>66900</v>
      </c>
    </row>
    <row r="125" spans="1:8" x14ac:dyDescent="0.2">
      <c r="A125" t="s">
        <v>260</v>
      </c>
      <c r="B125" t="s">
        <v>261</v>
      </c>
      <c r="C125" t="s">
        <v>195</v>
      </c>
      <c r="D125" t="s">
        <v>11</v>
      </c>
      <c r="E125" t="s">
        <v>12</v>
      </c>
      <c r="F125" s="2">
        <v>45849</v>
      </c>
      <c r="H125" s="3">
        <v>64900</v>
      </c>
    </row>
    <row r="126" spans="1:8" x14ac:dyDescent="0.2">
      <c r="A126" t="s">
        <v>262</v>
      </c>
      <c r="B126" t="s">
        <v>263</v>
      </c>
      <c r="C126" t="s">
        <v>195</v>
      </c>
      <c r="D126" t="s">
        <v>11</v>
      </c>
      <c r="E126" t="s">
        <v>12</v>
      </c>
      <c r="F126" s="2">
        <v>45150</v>
      </c>
      <c r="G126" s="2">
        <v>46149</v>
      </c>
      <c r="H126" s="3">
        <v>114500</v>
      </c>
    </row>
    <row r="127" spans="1:8" x14ac:dyDescent="0.2">
      <c r="A127" t="s">
        <v>264</v>
      </c>
      <c r="B127" t="s">
        <v>265</v>
      </c>
      <c r="C127" t="s">
        <v>195</v>
      </c>
      <c r="D127" t="s">
        <v>11</v>
      </c>
      <c r="E127" t="s">
        <v>19</v>
      </c>
      <c r="F127" s="2">
        <v>44562</v>
      </c>
      <c r="G127" s="2">
        <v>46027</v>
      </c>
      <c r="H127" s="3">
        <v>119800</v>
      </c>
    </row>
    <row r="128" spans="1:8" x14ac:dyDescent="0.2">
      <c r="A128" t="s">
        <v>266</v>
      </c>
      <c r="B128" t="s">
        <v>267</v>
      </c>
      <c r="C128" t="s">
        <v>195</v>
      </c>
      <c r="D128" t="s">
        <v>11</v>
      </c>
      <c r="E128" t="s">
        <v>19</v>
      </c>
      <c r="F128" s="2">
        <v>45321</v>
      </c>
      <c r="H128" s="3">
        <v>46600</v>
      </c>
    </row>
    <row r="129" spans="1:8" x14ac:dyDescent="0.2">
      <c r="A129" t="s">
        <v>268</v>
      </c>
      <c r="B129" t="s">
        <v>269</v>
      </c>
      <c r="C129" t="s">
        <v>195</v>
      </c>
      <c r="D129" t="s">
        <v>11</v>
      </c>
      <c r="E129" t="s">
        <v>19</v>
      </c>
      <c r="F129" s="2">
        <v>45267</v>
      </c>
      <c r="G129" s="2">
        <v>46208</v>
      </c>
      <c r="H129" s="3">
        <v>132000</v>
      </c>
    </row>
    <row r="130" spans="1:8" x14ac:dyDescent="0.2">
      <c r="A130" t="s">
        <v>270</v>
      </c>
      <c r="B130" t="s">
        <v>271</v>
      </c>
      <c r="C130" t="s">
        <v>195</v>
      </c>
      <c r="D130" t="s">
        <v>11</v>
      </c>
      <c r="E130" t="s">
        <v>19</v>
      </c>
      <c r="F130" s="2">
        <v>45497</v>
      </c>
      <c r="H130" s="3">
        <v>65200</v>
      </c>
    </row>
    <row r="131" spans="1:8" x14ac:dyDescent="0.2">
      <c r="A131" t="s">
        <v>272</v>
      </c>
      <c r="B131" t="s">
        <v>273</v>
      </c>
      <c r="C131" t="s">
        <v>195</v>
      </c>
      <c r="D131" t="s">
        <v>11</v>
      </c>
      <c r="E131" t="s">
        <v>19</v>
      </c>
      <c r="F131" s="2">
        <v>45823</v>
      </c>
      <c r="H131" s="3">
        <v>138900</v>
      </c>
    </row>
    <row r="132" spans="1:8" x14ac:dyDescent="0.2">
      <c r="A132" t="s">
        <v>274</v>
      </c>
      <c r="B132" t="s">
        <v>275</v>
      </c>
      <c r="C132" t="s">
        <v>195</v>
      </c>
      <c r="D132" t="s">
        <v>26</v>
      </c>
      <c r="E132" t="s">
        <v>12</v>
      </c>
      <c r="F132" s="2">
        <v>46171</v>
      </c>
      <c r="H132" s="3">
        <v>62500</v>
      </c>
    </row>
    <row r="133" spans="1:8" x14ac:dyDescent="0.2">
      <c r="A133" t="s">
        <v>276</v>
      </c>
      <c r="B133" t="s">
        <v>277</v>
      </c>
      <c r="C133" t="s">
        <v>195</v>
      </c>
      <c r="D133" t="s">
        <v>11</v>
      </c>
      <c r="E133" t="s">
        <v>12</v>
      </c>
      <c r="F133" s="2">
        <v>45414</v>
      </c>
      <c r="G133" s="2">
        <v>46148</v>
      </c>
      <c r="H133" s="3">
        <v>101100</v>
      </c>
    </row>
    <row r="134" spans="1:8" x14ac:dyDescent="0.2">
      <c r="A134" t="s">
        <v>278</v>
      </c>
      <c r="B134" t="s">
        <v>279</v>
      </c>
      <c r="C134" t="s">
        <v>195</v>
      </c>
      <c r="D134" t="s">
        <v>11</v>
      </c>
      <c r="E134" t="s">
        <v>12</v>
      </c>
      <c r="F134" s="2">
        <v>46213</v>
      </c>
      <c r="H134" s="3">
        <v>131800</v>
      </c>
    </row>
    <row r="135" spans="1:8" x14ac:dyDescent="0.2">
      <c r="A135" t="s">
        <v>280</v>
      </c>
      <c r="B135" t="s">
        <v>281</v>
      </c>
      <c r="C135" t="s">
        <v>195</v>
      </c>
      <c r="D135" t="s">
        <v>11</v>
      </c>
      <c r="E135" t="s">
        <v>19</v>
      </c>
      <c r="F135" s="2">
        <v>46220</v>
      </c>
      <c r="H135" s="3">
        <v>89300</v>
      </c>
    </row>
    <row r="136" spans="1:8" x14ac:dyDescent="0.2">
      <c r="A136" t="s">
        <v>282</v>
      </c>
      <c r="B136" t="s">
        <v>283</v>
      </c>
      <c r="C136" t="s">
        <v>195</v>
      </c>
      <c r="D136" t="s">
        <v>11</v>
      </c>
      <c r="E136" t="s">
        <v>12</v>
      </c>
      <c r="F136" s="2">
        <v>45790</v>
      </c>
      <c r="G136" s="2">
        <v>46137</v>
      </c>
      <c r="H136" s="3">
        <v>155800</v>
      </c>
    </row>
    <row r="137" spans="1:8" x14ac:dyDescent="0.2">
      <c r="A137" t="s">
        <v>284</v>
      </c>
      <c r="B137" t="s">
        <v>285</v>
      </c>
      <c r="C137" t="s">
        <v>195</v>
      </c>
      <c r="D137" t="s">
        <v>11</v>
      </c>
      <c r="E137" t="s">
        <v>19</v>
      </c>
      <c r="F137" s="2">
        <v>44574</v>
      </c>
      <c r="H137" s="3">
        <v>159800</v>
      </c>
    </row>
    <row r="138" spans="1:8" x14ac:dyDescent="0.2">
      <c r="A138" t="s">
        <v>286</v>
      </c>
      <c r="B138" t="s">
        <v>287</v>
      </c>
      <c r="C138" t="s">
        <v>195</v>
      </c>
      <c r="D138" t="s">
        <v>11</v>
      </c>
      <c r="E138" t="s">
        <v>12</v>
      </c>
      <c r="F138" s="2">
        <v>45813</v>
      </c>
      <c r="G138" s="2">
        <v>46291</v>
      </c>
      <c r="H138" s="3">
        <v>159900</v>
      </c>
    </row>
    <row r="139" spans="1:8" x14ac:dyDescent="0.2">
      <c r="A139" t="s">
        <v>288</v>
      </c>
      <c r="B139" t="s">
        <v>289</v>
      </c>
      <c r="C139" t="s">
        <v>195</v>
      </c>
      <c r="D139" t="s">
        <v>26</v>
      </c>
      <c r="E139" t="s">
        <v>19</v>
      </c>
      <c r="F139" s="2">
        <v>44668</v>
      </c>
      <c r="H139" s="3">
        <v>97200</v>
      </c>
    </row>
    <row r="140" spans="1:8" x14ac:dyDescent="0.2">
      <c r="A140" t="s">
        <v>290</v>
      </c>
      <c r="B140" t="s">
        <v>291</v>
      </c>
      <c r="C140" t="s">
        <v>195</v>
      </c>
      <c r="D140" t="s">
        <v>11</v>
      </c>
      <c r="E140" t="s">
        <v>12</v>
      </c>
      <c r="F140" s="2">
        <v>45497</v>
      </c>
      <c r="H140" s="3">
        <v>135500</v>
      </c>
    </row>
    <row r="141" spans="1:8" x14ac:dyDescent="0.2">
      <c r="A141" t="s">
        <v>292</v>
      </c>
      <c r="B141" t="s">
        <v>293</v>
      </c>
      <c r="C141" t="s">
        <v>195</v>
      </c>
      <c r="D141" t="s">
        <v>11</v>
      </c>
      <c r="E141" t="s">
        <v>12</v>
      </c>
      <c r="F141" s="2">
        <v>44736</v>
      </c>
      <c r="H141" s="3">
        <v>113500</v>
      </c>
    </row>
    <row r="142" spans="1:8" x14ac:dyDescent="0.2">
      <c r="A142" t="s">
        <v>294</v>
      </c>
      <c r="B142" t="s">
        <v>295</v>
      </c>
      <c r="C142" t="s">
        <v>195</v>
      </c>
      <c r="D142" t="s">
        <v>26</v>
      </c>
      <c r="E142" t="s">
        <v>12</v>
      </c>
      <c r="F142" s="2">
        <v>46042</v>
      </c>
      <c r="H142" s="3">
        <v>85900</v>
      </c>
    </row>
    <row r="143" spans="1:8" x14ac:dyDescent="0.2">
      <c r="A143" t="s">
        <v>296</v>
      </c>
      <c r="B143" t="s">
        <v>297</v>
      </c>
      <c r="C143" t="s">
        <v>195</v>
      </c>
      <c r="D143" t="s">
        <v>11</v>
      </c>
      <c r="E143" t="s">
        <v>19</v>
      </c>
      <c r="F143" s="2">
        <v>45931</v>
      </c>
      <c r="H143" s="3">
        <v>147200</v>
      </c>
    </row>
    <row r="144" spans="1:8" x14ac:dyDescent="0.2">
      <c r="A144" t="s">
        <v>298</v>
      </c>
      <c r="B144" t="s">
        <v>299</v>
      </c>
      <c r="C144" t="s">
        <v>195</v>
      </c>
      <c r="D144" t="s">
        <v>11</v>
      </c>
      <c r="E144" t="s">
        <v>19</v>
      </c>
      <c r="F144" s="2">
        <v>44666</v>
      </c>
      <c r="H144" s="3">
        <v>89300</v>
      </c>
    </row>
    <row r="145" spans="1:8" x14ac:dyDescent="0.2">
      <c r="A145" t="s">
        <v>300</v>
      </c>
      <c r="B145" t="s">
        <v>301</v>
      </c>
      <c r="C145" t="s">
        <v>195</v>
      </c>
      <c r="D145" t="s">
        <v>26</v>
      </c>
      <c r="E145" t="s">
        <v>19</v>
      </c>
      <c r="F145" s="2">
        <v>45350</v>
      </c>
      <c r="H145" s="3">
        <v>79400</v>
      </c>
    </row>
    <row r="146" spans="1:8" x14ac:dyDescent="0.2">
      <c r="A146" t="s">
        <v>302</v>
      </c>
      <c r="B146" t="s">
        <v>303</v>
      </c>
      <c r="C146" t="s">
        <v>195</v>
      </c>
      <c r="D146" t="s">
        <v>11</v>
      </c>
      <c r="E146" t="s">
        <v>19</v>
      </c>
      <c r="F146" s="2">
        <v>44573</v>
      </c>
      <c r="G146" s="2">
        <v>46096</v>
      </c>
      <c r="H146" s="3">
        <v>45600</v>
      </c>
    </row>
    <row r="147" spans="1:8" x14ac:dyDescent="0.2">
      <c r="A147" t="s">
        <v>304</v>
      </c>
      <c r="B147" t="s">
        <v>305</v>
      </c>
      <c r="C147" t="s">
        <v>195</v>
      </c>
      <c r="D147" t="s">
        <v>26</v>
      </c>
      <c r="E147" t="s">
        <v>12</v>
      </c>
      <c r="F147" s="2">
        <v>45125</v>
      </c>
      <c r="H147" s="3">
        <v>127800</v>
      </c>
    </row>
    <row r="148" spans="1:8" x14ac:dyDescent="0.2">
      <c r="A148" t="s">
        <v>306</v>
      </c>
      <c r="B148" t="s">
        <v>307</v>
      </c>
      <c r="C148" t="s">
        <v>195</v>
      </c>
      <c r="D148" t="s">
        <v>11</v>
      </c>
      <c r="E148" t="s">
        <v>19</v>
      </c>
      <c r="F148" s="2">
        <v>45993</v>
      </c>
      <c r="H148" s="3">
        <v>108600</v>
      </c>
    </row>
    <row r="149" spans="1:8" x14ac:dyDescent="0.2">
      <c r="A149" t="s">
        <v>308</v>
      </c>
      <c r="B149" t="s">
        <v>309</v>
      </c>
      <c r="C149" t="s">
        <v>195</v>
      </c>
      <c r="D149" t="s">
        <v>11</v>
      </c>
      <c r="E149" t="s">
        <v>12</v>
      </c>
      <c r="F149" s="2">
        <v>45473</v>
      </c>
      <c r="H149" s="3">
        <v>88200</v>
      </c>
    </row>
    <row r="150" spans="1:8" x14ac:dyDescent="0.2">
      <c r="A150" t="s">
        <v>310</v>
      </c>
      <c r="B150" t="s">
        <v>311</v>
      </c>
      <c r="C150" t="s">
        <v>195</v>
      </c>
      <c r="D150" t="s">
        <v>11</v>
      </c>
      <c r="E150" t="s">
        <v>12</v>
      </c>
      <c r="F150" s="2">
        <v>45838</v>
      </c>
      <c r="H150" s="3">
        <v>126300</v>
      </c>
    </row>
    <row r="151" spans="1:8" x14ac:dyDescent="0.2">
      <c r="A151" t="s">
        <v>312</v>
      </c>
      <c r="B151" t="s">
        <v>313</v>
      </c>
      <c r="C151" t="s">
        <v>195</v>
      </c>
      <c r="D151" t="s">
        <v>11</v>
      </c>
      <c r="E151" t="s">
        <v>19</v>
      </c>
      <c r="F151" s="2">
        <v>46072</v>
      </c>
      <c r="H151" s="3">
        <v>111900</v>
      </c>
    </row>
    <row r="152" spans="1:8" x14ac:dyDescent="0.2">
      <c r="A152" t="s">
        <v>314</v>
      </c>
      <c r="B152" t="s">
        <v>315</v>
      </c>
      <c r="C152" t="s">
        <v>195</v>
      </c>
      <c r="D152" t="s">
        <v>26</v>
      </c>
      <c r="E152" t="s">
        <v>12</v>
      </c>
      <c r="F152" s="2">
        <v>45579</v>
      </c>
      <c r="H152" s="3">
        <v>155800</v>
      </c>
    </row>
    <row r="153" spans="1:8" x14ac:dyDescent="0.2">
      <c r="A153" t="s">
        <v>316</v>
      </c>
      <c r="B153" t="s">
        <v>317</v>
      </c>
      <c r="C153" t="s">
        <v>195</v>
      </c>
      <c r="D153" t="s">
        <v>11</v>
      </c>
      <c r="E153" t="s">
        <v>19</v>
      </c>
      <c r="F153" s="2">
        <v>44975</v>
      </c>
      <c r="G153" s="2">
        <v>46181</v>
      </c>
      <c r="H153" s="3">
        <v>111400</v>
      </c>
    </row>
    <row r="154" spans="1:8" x14ac:dyDescent="0.2">
      <c r="A154" t="s">
        <v>318</v>
      </c>
      <c r="B154" t="s">
        <v>319</v>
      </c>
      <c r="C154" t="s">
        <v>195</v>
      </c>
      <c r="D154" t="s">
        <v>11</v>
      </c>
      <c r="E154" t="s">
        <v>19</v>
      </c>
      <c r="F154" s="2">
        <v>44739</v>
      </c>
      <c r="H154" s="3">
        <v>83400</v>
      </c>
    </row>
    <row r="155" spans="1:8" x14ac:dyDescent="0.2">
      <c r="A155" t="s">
        <v>320</v>
      </c>
      <c r="B155" t="s">
        <v>321</v>
      </c>
      <c r="C155" t="s">
        <v>195</v>
      </c>
      <c r="D155" t="s">
        <v>11</v>
      </c>
      <c r="E155" t="s">
        <v>12</v>
      </c>
      <c r="F155" s="2">
        <v>44850</v>
      </c>
      <c r="H155" s="3">
        <v>114800</v>
      </c>
    </row>
    <row r="156" spans="1:8" x14ac:dyDescent="0.2">
      <c r="A156" t="s">
        <v>322</v>
      </c>
      <c r="B156" t="s">
        <v>323</v>
      </c>
      <c r="C156" t="s">
        <v>195</v>
      </c>
      <c r="D156" t="s">
        <v>11</v>
      </c>
      <c r="E156" t="s">
        <v>19</v>
      </c>
      <c r="F156" s="2">
        <v>45597</v>
      </c>
      <c r="H156" s="3">
        <v>130400</v>
      </c>
    </row>
    <row r="157" spans="1:8" x14ac:dyDescent="0.2">
      <c r="A157" t="s">
        <v>324</v>
      </c>
      <c r="B157" t="s">
        <v>325</v>
      </c>
      <c r="C157" t="s">
        <v>195</v>
      </c>
      <c r="D157" t="s">
        <v>11</v>
      </c>
      <c r="E157" t="s">
        <v>12</v>
      </c>
      <c r="F157" s="2">
        <v>45559</v>
      </c>
      <c r="G157" s="2">
        <v>46247</v>
      </c>
      <c r="H157" s="3">
        <v>58800</v>
      </c>
    </row>
    <row r="158" spans="1:8" x14ac:dyDescent="0.2">
      <c r="A158" t="s">
        <v>326</v>
      </c>
      <c r="B158" t="s">
        <v>327</v>
      </c>
      <c r="C158" t="s">
        <v>195</v>
      </c>
      <c r="D158" t="s">
        <v>26</v>
      </c>
      <c r="E158" t="s">
        <v>19</v>
      </c>
      <c r="F158" s="2">
        <v>44871</v>
      </c>
      <c r="H158" s="3">
        <v>73600</v>
      </c>
    </row>
    <row r="159" spans="1:8" x14ac:dyDescent="0.2">
      <c r="A159" t="s">
        <v>328</v>
      </c>
      <c r="B159" t="s">
        <v>329</v>
      </c>
      <c r="C159" t="s">
        <v>195</v>
      </c>
      <c r="D159" t="s">
        <v>26</v>
      </c>
      <c r="E159" t="s">
        <v>19</v>
      </c>
      <c r="F159" s="2">
        <v>44646</v>
      </c>
      <c r="H159" s="3">
        <v>64700</v>
      </c>
    </row>
    <row r="160" spans="1:8" x14ac:dyDescent="0.2">
      <c r="A160" t="s">
        <v>330</v>
      </c>
      <c r="B160" t="s">
        <v>331</v>
      </c>
      <c r="C160" t="s">
        <v>195</v>
      </c>
      <c r="D160" t="s">
        <v>26</v>
      </c>
      <c r="E160" t="s">
        <v>19</v>
      </c>
      <c r="F160" s="2">
        <v>45901</v>
      </c>
      <c r="G160" s="2">
        <v>46200</v>
      </c>
      <c r="H160" s="3">
        <v>121100</v>
      </c>
    </row>
    <row r="161" spans="1:8" x14ac:dyDescent="0.2">
      <c r="A161" t="s">
        <v>332</v>
      </c>
      <c r="B161" t="s">
        <v>333</v>
      </c>
      <c r="C161" t="s">
        <v>195</v>
      </c>
      <c r="D161" t="s">
        <v>11</v>
      </c>
      <c r="E161" t="s">
        <v>12</v>
      </c>
      <c r="F161" s="2">
        <v>45236</v>
      </c>
      <c r="H161" s="3">
        <v>139000</v>
      </c>
    </row>
    <row r="162" spans="1:8" x14ac:dyDescent="0.2">
      <c r="A162" t="s">
        <v>334</v>
      </c>
      <c r="B162" t="s">
        <v>335</v>
      </c>
      <c r="C162" t="s">
        <v>195</v>
      </c>
      <c r="D162" t="s">
        <v>11</v>
      </c>
      <c r="E162" t="s">
        <v>12</v>
      </c>
      <c r="F162" s="2">
        <v>45139</v>
      </c>
      <c r="H162" s="3">
        <v>72400</v>
      </c>
    </row>
    <row r="163" spans="1:8" x14ac:dyDescent="0.2">
      <c r="A163" t="s">
        <v>336</v>
      </c>
      <c r="B163" t="s">
        <v>337</v>
      </c>
      <c r="C163" t="s">
        <v>195</v>
      </c>
      <c r="D163" t="s">
        <v>26</v>
      </c>
      <c r="E163" t="s">
        <v>19</v>
      </c>
      <c r="F163" s="2">
        <v>44632</v>
      </c>
      <c r="H163" s="3">
        <v>71200</v>
      </c>
    </row>
    <row r="164" spans="1:8" x14ac:dyDescent="0.2">
      <c r="A164" t="s">
        <v>338</v>
      </c>
      <c r="B164" t="s">
        <v>339</v>
      </c>
      <c r="C164" t="s">
        <v>195</v>
      </c>
      <c r="D164" t="s">
        <v>11</v>
      </c>
      <c r="E164" t="s">
        <v>19</v>
      </c>
      <c r="F164" s="2">
        <v>45335</v>
      </c>
      <c r="H164" s="3">
        <v>57300</v>
      </c>
    </row>
    <row r="165" spans="1:8" x14ac:dyDescent="0.2">
      <c r="A165" t="s">
        <v>340</v>
      </c>
      <c r="B165" t="s">
        <v>341</v>
      </c>
      <c r="C165" t="s">
        <v>195</v>
      </c>
      <c r="D165" t="s">
        <v>11</v>
      </c>
      <c r="E165" t="s">
        <v>12</v>
      </c>
      <c r="F165" s="2">
        <v>45070</v>
      </c>
      <c r="H165" s="3">
        <v>106200</v>
      </c>
    </row>
    <row r="166" spans="1:8" x14ac:dyDescent="0.2">
      <c r="A166" t="s">
        <v>342</v>
      </c>
      <c r="B166" t="s">
        <v>343</v>
      </c>
      <c r="C166" t="s">
        <v>195</v>
      </c>
      <c r="D166" t="s">
        <v>11</v>
      </c>
      <c r="E166" t="s">
        <v>12</v>
      </c>
      <c r="F166" s="2">
        <v>45899</v>
      </c>
      <c r="H166" s="3">
        <v>71600</v>
      </c>
    </row>
    <row r="167" spans="1:8" x14ac:dyDescent="0.2">
      <c r="A167" t="s">
        <v>344</v>
      </c>
      <c r="B167" t="s">
        <v>345</v>
      </c>
      <c r="C167" t="s">
        <v>195</v>
      </c>
      <c r="D167" t="s">
        <v>26</v>
      </c>
      <c r="E167" t="s">
        <v>12</v>
      </c>
      <c r="F167" s="2">
        <v>45433</v>
      </c>
      <c r="H167" s="3">
        <v>135100</v>
      </c>
    </row>
    <row r="168" spans="1:8" x14ac:dyDescent="0.2">
      <c r="A168" t="s">
        <v>346</v>
      </c>
      <c r="B168" t="s">
        <v>347</v>
      </c>
      <c r="C168" t="s">
        <v>195</v>
      </c>
      <c r="D168" t="s">
        <v>11</v>
      </c>
      <c r="E168" t="s">
        <v>12</v>
      </c>
      <c r="F168" s="2">
        <v>45769</v>
      </c>
      <c r="G168" s="2">
        <v>46058</v>
      </c>
      <c r="H168" s="3">
        <v>141200</v>
      </c>
    </row>
    <row r="169" spans="1:8" x14ac:dyDescent="0.2">
      <c r="A169" t="s">
        <v>348</v>
      </c>
      <c r="B169" t="s">
        <v>349</v>
      </c>
      <c r="C169" t="s">
        <v>195</v>
      </c>
      <c r="D169" t="s">
        <v>26</v>
      </c>
      <c r="E169" t="s">
        <v>12</v>
      </c>
      <c r="F169" s="2">
        <v>44710</v>
      </c>
      <c r="H169" s="3">
        <v>114900</v>
      </c>
    </row>
    <row r="170" spans="1:8" x14ac:dyDescent="0.2">
      <c r="A170" t="s">
        <v>350</v>
      </c>
      <c r="B170" t="s">
        <v>351</v>
      </c>
      <c r="C170" t="s">
        <v>195</v>
      </c>
      <c r="D170" t="s">
        <v>11</v>
      </c>
      <c r="E170" t="s">
        <v>19</v>
      </c>
      <c r="F170" s="2">
        <v>44646</v>
      </c>
      <c r="H170" s="3">
        <v>104700</v>
      </c>
    </row>
    <row r="171" spans="1:8" x14ac:dyDescent="0.2">
      <c r="A171" t="s">
        <v>352</v>
      </c>
      <c r="B171" t="s">
        <v>353</v>
      </c>
      <c r="C171" t="s">
        <v>195</v>
      </c>
      <c r="D171" t="s">
        <v>26</v>
      </c>
      <c r="E171" t="s">
        <v>19</v>
      </c>
      <c r="F171" s="2">
        <v>44828</v>
      </c>
      <c r="H171" s="3">
        <v>83100</v>
      </c>
    </row>
    <row r="172" spans="1:8" x14ac:dyDescent="0.2">
      <c r="A172" t="s">
        <v>354</v>
      </c>
      <c r="B172" t="s">
        <v>355</v>
      </c>
      <c r="C172" t="s">
        <v>356</v>
      </c>
      <c r="D172" t="s">
        <v>11</v>
      </c>
      <c r="E172" t="s">
        <v>12</v>
      </c>
      <c r="F172" s="2">
        <v>45740</v>
      </c>
      <c r="H172" s="3">
        <v>918500</v>
      </c>
    </row>
    <row r="173" spans="1:8" x14ac:dyDescent="0.2">
      <c r="A173" t="s">
        <v>357</v>
      </c>
      <c r="B173" t="s">
        <v>358</v>
      </c>
      <c r="C173" t="s">
        <v>356</v>
      </c>
      <c r="D173" t="s">
        <v>11</v>
      </c>
      <c r="E173" t="s">
        <v>19</v>
      </c>
      <c r="F173" s="2">
        <v>45030</v>
      </c>
      <c r="H173" s="3">
        <v>414800</v>
      </c>
    </row>
    <row r="174" spans="1:8" x14ac:dyDescent="0.2">
      <c r="A174" t="s">
        <v>359</v>
      </c>
      <c r="B174" t="s">
        <v>360</v>
      </c>
      <c r="C174" t="s">
        <v>356</v>
      </c>
      <c r="D174" t="s">
        <v>26</v>
      </c>
      <c r="E174" t="s">
        <v>12</v>
      </c>
      <c r="F174" s="2">
        <v>45983</v>
      </c>
      <c r="H174" s="3">
        <v>782800</v>
      </c>
    </row>
    <row r="175" spans="1:8" x14ac:dyDescent="0.2">
      <c r="A175" t="s">
        <v>361</v>
      </c>
      <c r="B175" t="s">
        <v>362</v>
      </c>
      <c r="C175" t="s">
        <v>356</v>
      </c>
      <c r="D175" t="s">
        <v>11</v>
      </c>
      <c r="E175" t="s">
        <v>19</v>
      </c>
      <c r="F175" s="2">
        <v>45225</v>
      </c>
      <c r="H175" s="3">
        <v>276400</v>
      </c>
    </row>
    <row r="176" spans="1:8" x14ac:dyDescent="0.2">
      <c r="A176" t="s">
        <v>363</v>
      </c>
      <c r="B176" t="s">
        <v>364</v>
      </c>
      <c r="C176" t="s">
        <v>356</v>
      </c>
      <c r="D176" t="s">
        <v>26</v>
      </c>
      <c r="E176" t="s">
        <v>19</v>
      </c>
      <c r="F176" s="2">
        <v>45648</v>
      </c>
      <c r="H176" s="3">
        <v>719800</v>
      </c>
    </row>
    <row r="177" spans="1:8" x14ac:dyDescent="0.2">
      <c r="A177" t="s">
        <v>365</v>
      </c>
      <c r="B177" t="s">
        <v>366</v>
      </c>
      <c r="C177" t="s">
        <v>356</v>
      </c>
      <c r="D177" t="s">
        <v>11</v>
      </c>
      <c r="E177" t="s">
        <v>12</v>
      </c>
      <c r="F177" s="2">
        <v>45808</v>
      </c>
      <c r="H177" s="3">
        <v>352900</v>
      </c>
    </row>
    <row r="178" spans="1:8" x14ac:dyDescent="0.2">
      <c r="A178" t="s">
        <v>367</v>
      </c>
      <c r="B178" t="s">
        <v>368</v>
      </c>
      <c r="C178" t="s">
        <v>356</v>
      </c>
      <c r="D178" t="s">
        <v>11</v>
      </c>
      <c r="E178" t="s">
        <v>19</v>
      </c>
      <c r="F178" s="2">
        <v>46166</v>
      </c>
      <c r="H178" s="3">
        <v>330800</v>
      </c>
    </row>
    <row r="179" spans="1:8" x14ac:dyDescent="0.2">
      <c r="A179" t="s">
        <v>369</v>
      </c>
      <c r="B179" t="s">
        <v>370</v>
      </c>
      <c r="C179" t="s">
        <v>356</v>
      </c>
      <c r="D179" t="s">
        <v>26</v>
      </c>
      <c r="E179" t="s">
        <v>19</v>
      </c>
      <c r="F179" s="2">
        <v>44594</v>
      </c>
      <c r="H179" s="3">
        <v>715900</v>
      </c>
    </row>
    <row r="180" spans="1:8" x14ac:dyDescent="0.2">
      <c r="A180" t="s">
        <v>371</v>
      </c>
      <c r="B180" t="s">
        <v>372</v>
      </c>
      <c r="C180" t="s">
        <v>356</v>
      </c>
      <c r="D180" t="s">
        <v>11</v>
      </c>
      <c r="E180" t="s">
        <v>12</v>
      </c>
      <c r="F180" s="2">
        <v>45898</v>
      </c>
      <c r="H180" s="3">
        <v>682100</v>
      </c>
    </row>
    <row r="181" spans="1:8" x14ac:dyDescent="0.2">
      <c r="A181" t="s">
        <v>373</v>
      </c>
      <c r="B181" t="s">
        <v>374</v>
      </c>
      <c r="C181" t="s">
        <v>356</v>
      </c>
      <c r="D181" t="s">
        <v>11</v>
      </c>
      <c r="E181" t="s">
        <v>12</v>
      </c>
      <c r="F181" s="2">
        <v>45868</v>
      </c>
      <c r="H181" s="3">
        <v>736500</v>
      </c>
    </row>
    <row r="182" spans="1:8" x14ac:dyDescent="0.2">
      <c r="A182" t="s">
        <v>375</v>
      </c>
      <c r="B182" t="s">
        <v>376</v>
      </c>
      <c r="C182" t="s">
        <v>356</v>
      </c>
      <c r="D182" t="s">
        <v>11</v>
      </c>
      <c r="E182" t="s">
        <v>19</v>
      </c>
      <c r="F182" s="2">
        <v>46147</v>
      </c>
      <c r="H182" s="3">
        <v>225200</v>
      </c>
    </row>
    <row r="183" spans="1:8" x14ac:dyDescent="0.2">
      <c r="A183" t="s">
        <v>377</v>
      </c>
      <c r="B183" t="s">
        <v>378</v>
      </c>
      <c r="C183" t="s">
        <v>356</v>
      </c>
      <c r="D183" t="s">
        <v>26</v>
      </c>
      <c r="E183" t="s">
        <v>19</v>
      </c>
      <c r="F183" s="2">
        <v>46073</v>
      </c>
      <c r="H183" s="3">
        <v>803100</v>
      </c>
    </row>
    <row r="184" spans="1:8" x14ac:dyDescent="0.2">
      <c r="A184" t="s">
        <v>379</v>
      </c>
      <c r="B184" t="s">
        <v>380</v>
      </c>
      <c r="C184" t="s">
        <v>356</v>
      </c>
      <c r="D184" t="s">
        <v>26</v>
      </c>
      <c r="E184" t="s">
        <v>19</v>
      </c>
      <c r="F184" s="2">
        <v>44961</v>
      </c>
      <c r="H184" s="3">
        <v>483700</v>
      </c>
    </row>
    <row r="185" spans="1:8" x14ac:dyDescent="0.2">
      <c r="A185" t="s">
        <v>381</v>
      </c>
      <c r="B185" t="s">
        <v>382</v>
      </c>
      <c r="C185" t="s">
        <v>356</v>
      </c>
      <c r="D185" t="s">
        <v>11</v>
      </c>
      <c r="E185" t="s">
        <v>19</v>
      </c>
      <c r="F185" s="2">
        <v>44918</v>
      </c>
      <c r="H185" s="3">
        <v>313200</v>
      </c>
    </row>
    <row r="186" spans="1:8" x14ac:dyDescent="0.2">
      <c r="A186" t="s">
        <v>383</v>
      </c>
      <c r="B186" t="s">
        <v>384</v>
      </c>
      <c r="C186" t="s">
        <v>356</v>
      </c>
      <c r="D186" t="s">
        <v>26</v>
      </c>
      <c r="E186" t="s">
        <v>19</v>
      </c>
      <c r="F186" s="2">
        <v>45948</v>
      </c>
      <c r="H186" s="3">
        <v>442800</v>
      </c>
    </row>
    <row r="187" spans="1:8" x14ac:dyDescent="0.2">
      <c r="A187" t="s">
        <v>385</v>
      </c>
      <c r="B187" t="s">
        <v>386</v>
      </c>
      <c r="C187" t="s">
        <v>356</v>
      </c>
      <c r="D187" t="s">
        <v>11</v>
      </c>
      <c r="E187" t="s">
        <v>19</v>
      </c>
      <c r="F187" s="2">
        <v>45306</v>
      </c>
      <c r="H187" s="3">
        <v>640100</v>
      </c>
    </row>
    <row r="188" spans="1:8" x14ac:dyDescent="0.2">
      <c r="A188" t="s">
        <v>387</v>
      </c>
      <c r="B188" t="s">
        <v>388</v>
      </c>
      <c r="C188" t="s">
        <v>356</v>
      </c>
      <c r="D188" t="s">
        <v>26</v>
      </c>
      <c r="E188" t="s">
        <v>19</v>
      </c>
      <c r="F188" s="2">
        <v>46121</v>
      </c>
      <c r="H188" s="3">
        <v>826500</v>
      </c>
    </row>
    <row r="189" spans="1:8" x14ac:dyDescent="0.2">
      <c r="A189" t="s">
        <v>389</v>
      </c>
      <c r="B189" t="s">
        <v>390</v>
      </c>
      <c r="C189" t="s">
        <v>356</v>
      </c>
      <c r="D189" t="s">
        <v>11</v>
      </c>
      <c r="E189" t="s">
        <v>19</v>
      </c>
      <c r="F189" s="2">
        <v>46178</v>
      </c>
      <c r="H189" s="3">
        <v>838600</v>
      </c>
    </row>
    <row r="190" spans="1:8" x14ac:dyDescent="0.2">
      <c r="A190" t="s">
        <v>391</v>
      </c>
      <c r="B190" t="s">
        <v>392</v>
      </c>
      <c r="C190" t="s">
        <v>356</v>
      </c>
      <c r="D190" t="s">
        <v>26</v>
      </c>
      <c r="E190" t="s">
        <v>19</v>
      </c>
      <c r="F190" s="2">
        <v>45072</v>
      </c>
      <c r="H190" s="3">
        <v>529600</v>
      </c>
    </row>
    <row r="191" spans="1:8" x14ac:dyDescent="0.2">
      <c r="A191" t="s">
        <v>393</v>
      </c>
      <c r="B191" t="s">
        <v>394</v>
      </c>
      <c r="C191" t="s">
        <v>356</v>
      </c>
      <c r="D191" t="s">
        <v>11</v>
      </c>
      <c r="E191" t="s">
        <v>12</v>
      </c>
      <c r="F191" s="2">
        <v>45208</v>
      </c>
      <c r="H191" s="3">
        <v>597100</v>
      </c>
    </row>
    <row r="192" spans="1:8" x14ac:dyDescent="0.2">
      <c r="A192" t="s">
        <v>395</v>
      </c>
      <c r="B192" t="s">
        <v>396</v>
      </c>
      <c r="C192" t="s">
        <v>356</v>
      </c>
      <c r="D192" t="s">
        <v>11</v>
      </c>
      <c r="E192" t="s">
        <v>12</v>
      </c>
      <c r="F192" s="2">
        <v>45835</v>
      </c>
      <c r="H192" s="3">
        <v>244400</v>
      </c>
    </row>
    <row r="193" spans="1:8" x14ac:dyDescent="0.2">
      <c r="A193" t="s">
        <v>397</v>
      </c>
      <c r="B193" t="s">
        <v>398</v>
      </c>
      <c r="C193" t="s">
        <v>356</v>
      </c>
      <c r="D193" t="s">
        <v>11</v>
      </c>
      <c r="E193" t="s">
        <v>19</v>
      </c>
      <c r="F193" s="2">
        <v>44591</v>
      </c>
      <c r="H193" s="3">
        <v>828200</v>
      </c>
    </row>
    <row r="194" spans="1:8" x14ac:dyDescent="0.2">
      <c r="A194" t="s">
        <v>399</v>
      </c>
      <c r="B194" t="s">
        <v>400</v>
      </c>
      <c r="C194" t="s">
        <v>356</v>
      </c>
      <c r="D194" t="s">
        <v>26</v>
      </c>
      <c r="E194" t="s">
        <v>19</v>
      </c>
      <c r="F194" s="2">
        <v>45006</v>
      </c>
      <c r="G194" s="2">
        <v>46225</v>
      </c>
      <c r="H194" s="3">
        <v>652600</v>
      </c>
    </row>
    <row r="195" spans="1:8" x14ac:dyDescent="0.2">
      <c r="A195" t="s">
        <v>401</v>
      </c>
      <c r="B195" t="s">
        <v>402</v>
      </c>
      <c r="C195" t="s">
        <v>356</v>
      </c>
      <c r="D195" t="s">
        <v>11</v>
      </c>
      <c r="E195" t="s">
        <v>12</v>
      </c>
      <c r="F195" s="2">
        <v>46243</v>
      </c>
      <c r="H195" s="3">
        <v>468300</v>
      </c>
    </row>
    <row r="196" spans="1:8" x14ac:dyDescent="0.2">
      <c r="A196" t="s">
        <v>403</v>
      </c>
      <c r="B196" t="s">
        <v>404</v>
      </c>
      <c r="C196" t="s">
        <v>356</v>
      </c>
      <c r="D196" t="s">
        <v>11</v>
      </c>
      <c r="E196" t="s">
        <v>12</v>
      </c>
      <c r="F196" s="2">
        <v>45697</v>
      </c>
      <c r="H196" s="3">
        <v>939600</v>
      </c>
    </row>
    <row r="197" spans="1:8" x14ac:dyDescent="0.2">
      <c r="A197" t="s">
        <v>405</v>
      </c>
      <c r="B197" t="s">
        <v>406</v>
      </c>
      <c r="C197" t="s">
        <v>356</v>
      </c>
      <c r="D197" t="s">
        <v>11</v>
      </c>
      <c r="E197" t="s">
        <v>19</v>
      </c>
      <c r="F197" s="2">
        <v>45546</v>
      </c>
      <c r="H197" s="3">
        <v>905100</v>
      </c>
    </row>
    <row r="198" spans="1:8" x14ac:dyDescent="0.2">
      <c r="A198" t="s">
        <v>407</v>
      </c>
      <c r="B198" t="s">
        <v>408</v>
      </c>
      <c r="C198" t="s">
        <v>356</v>
      </c>
      <c r="D198" t="s">
        <v>11</v>
      </c>
      <c r="E198" t="s">
        <v>12</v>
      </c>
      <c r="F198" s="2">
        <v>45936</v>
      </c>
      <c r="H198" s="3">
        <v>457100</v>
      </c>
    </row>
    <row r="199" spans="1:8" x14ac:dyDescent="0.2">
      <c r="A199" t="s">
        <v>409</v>
      </c>
      <c r="B199" t="s">
        <v>410</v>
      </c>
      <c r="C199" t="s">
        <v>356</v>
      </c>
      <c r="D199" t="s">
        <v>11</v>
      </c>
      <c r="E199" t="s">
        <v>19</v>
      </c>
      <c r="F199" s="2">
        <v>44563</v>
      </c>
      <c r="H199" s="3">
        <v>576900</v>
      </c>
    </row>
    <row r="200" spans="1:8" x14ac:dyDescent="0.2">
      <c r="A200" t="s">
        <v>411</v>
      </c>
      <c r="B200" t="s">
        <v>412</v>
      </c>
      <c r="C200" t="s">
        <v>356</v>
      </c>
      <c r="D200" t="s">
        <v>11</v>
      </c>
      <c r="E200" t="s">
        <v>12</v>
      </c>
      <c r="F200" s="2">
        <v>44812</v>
      </c>
      <c r="H200" s="3">
        <v>361700</v>
      </c>
    </row>
    <row r="201" spans="1:8" x14ac:dyDescent="0.2">
      <c r="A201" t="s">
        <v>413</v>
      </c>
      <c r="B201" t="s">
        <v>414</v>
      </c>
      <c r="C201" t="s">
        <v>356</v>
      </c>
      <c r="D201" t="s">
        <v>11</v>
      </c>
      <c r="E201" t="s">
        <v>12</v>
      </c>
      <c r="F201" s="2">
        <v>45191</v>
      </c>
      <c r="H201" s="3">
        <v>788300</v>
      </c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workbookViewId="0"/>
  </sheetViews>
  <sheetFormatPr baseColWidth="10" defaultColWidth="8.83203125" defaultRowHeight="15" x14ac:dyDescent="0.2"/>
  <cols>
    <col min="1" max="1" width="22" customWidth="1"/>
    <col min="2" max="2" width="14" customWidth="1"/>
    <col min="3" max="6" width="12" customWidth="1"/>
    <col min="7" max="7" width="14" customWidth="1"/>
    <col min="8" max="8" width="13" customWidth="1"/>
  </cols>
  <sheetData>
    <row r="1" spans="1:8" ht="19" x14ac:dyDescent="0.25">
      <c r="A1" s="11" t="s">
        <v>415</v>
      </c>
      <c r="B1" s="12"/>
      <c r="C1" s="12"/>
      <c r="D1" s="12"/>
      <c r="E1" s="12"/>
      <c r="F1" s="12"/>
      <c r="G1" s="12"/>
      <c r="H1" s="12"/>
    </row>
    <row r="3" spans="1:8" x14ac:dyDescent="0.2">
      <c r="A3" s="1" t="s">
        <v>416</v>
      </c>
      <c r="B3" s="1" t="s">
        <v>417</v>
      </c>
      <c r="C3" s="1" t="s">
        <v>418</v>
      </c>
      <c r="D3" s="1" t="s">
        <v>419</v>
      </c>
      <c r="E3" s="1" t="s">
        <v>420</v>
      </c>
      <c r="F3" s="1" t="s">
        <v>421</v>
      </c>
      <c r="G3" s="1" t="s">
        <v>422</v>
      </c>
      <c r="H3" s="1" t="s">
        <v>423</v>
      </c>
    </row>
    <row r="4" spans="1:8" x14ac:dyDescent="0.2">
      <c r="A4" s="4">
        <v>46023</v>
      </c>
      <c r="B4" s="5">
        <v>23314200</v>
      </c>
      <c r="C4" s="3">
        <f>SUMIFS(Customers!$H:$H,Customers!$F:$F,"&gt;="&amp;A4,Customers!$F:$F,"&lt;="&amp;EOMONTH(A4,0))</f>
        <v>214200</v>
      </c>
      <c r="D4" s="5">
        <v>283000</v>
      </c>
      <c r="E4" s="5">
        <v>-50000</v>
      </c>
      <c r="F4" s="3">
        <f>-SUMIFS(Customers!$H:$H,Customers!$G:$G,"&gt;="&amp;A4,Customers!$G:$G,"&lt;="&amp;EOMONTH(A4,0))</f>
        <v>-119800</v>
      </c>
      <c r="G4" s="3">
        <f t="shared" ref="G4:G12" si="0">B4+C4+D4+E4+F4</f>
        <v>23641600</v>
      </c>
      <c r="H4" s="3">
        <f t="shared" ref="H4:H12" si="1">G4-B4</f>
        <v>327400</v>
      </c>
    </row>
    <row r="5" spans="1:8" x14ac:dyDescent="0.2">
      <c r="A5" s="4">
        <v>46054</v>
      </c>
      <c r="B5" s="3">
        <f t="shared" ref="B5:B12" si="2">G4</f>
        <v>23641600</v>
      </c>
      <c r="C5" s="3">
        <f>SUMIFS(Customers!$H:$H,Customers!$F:$F,"&gt;="&amp;A5,Customers!$F:$F,"&lt;="&amp;EOMONTH(A5,0))</f>
        <v>941300</v>
      </c>
      <c r="D5" s="5">
        <v>269000</v>
      </c>
      <c r="E5" s="5">
        <v>-106000</v>
      </c>
      <c r="F5" s="3">
        <f>-SUMIFS(Customers!$H:$H,Customers!$G:$G,"&gt;="&amp;A5,Customers!$G:$G,"&lt;="&amp;EOMONTH(A5,0))</f>
        <v>-159300</v>
      </c>
      <c r="G5" s="3">
        <f t="shared" si="0"/>
        <v>24586600</v>
      </c>
      <c r="H5" s="3">
        <f t="shared" si="1"/>
        <v>945000</v>
      </c>
    </row>
    <row r="6" spans="1:8" x14ac:dyDescent="0.2">
      <c r="A6" s="4">
        <v>46082</v>
      </c>
      <c r="B6" s="3">
        <f t="shared" si="2"/>
        <v>24586600</v>
      </c>
      <c r="C6" s="3">
        <f>SUMIFS(Customers!$H:$H,Customers!$F:$F,"&gt;="&amp;A6,Customers!$F:$F,"&lt;="&amp;EOMONTH(A6,0))</f>
        <v>8200</v>
      </c>
      <c r="D6" s="5">
        <v>289000</v>
      </c>
      <c r="E6" s="5">
        <v>-64000</v>
      </c>
      <c r="F6" s="3">
        <f>-SUMIFS(Customers!$H:$H,Customers!$G:$G,"&gt;="&amp;A6,Customers!$G:$G,"&lt;="&amp;EOMONTH(A6,0))</f>
        <v>-162200</v>
      </c>
      <c r="G6" s="3">
        <f t="shared" si="0"/>
        <v>24657600</v>
      </c>
      <c r="H6" s="3">
        <f t="shared" si="1"/>
        <v>71000</v>
      </c>
    </row>
    <row r="7" spans="1:8" x14ac:dyDescent="0.2">
      <c r="A7" s="4">
        <v>46113</v>
      </c>
      <c r="B7" s="3">
        <f t="shared" si="2"/>
        <v>24657600</v>
      </c>
      <c r="C7" s="3">
        <f>SUMIFS(Customers!$H:$H,Customers!$F:$F,"&gt;="&amp;A7,Customers!$F:$F,"&lt;="&amp;EOMONTH(A7,0))</f>
        <v>1022700</v>
      </c>
      <c r="D7" s="5">
        <v>416000</v>
      </c>
      <c r="E7" s="5">
        <v>-52000</v>
      </c>
      <c r="F7" s="3">
        <f>-SUMIFS(Customers!$H:$H,Customers!$G:$G,"&gt;="&amp;A7,Customers!$G:$G,"&lt;="&amp;EOMONTH(A7,0))</f>
        <v>-315400</v>
      </c>
      <c r="G7" s="3">
        <f t="shared" si="0"/>
        <v>25728900</v>
      </c>
      <c r="H7" s="3">
        <f t="shared" si="1"/>
        <v>1071300</v>
      </c>
    </row>
    <row r="8" spans="1:8" x14ac:dyDescent="0.2">
      <c r="A8" s="4">
        <v>46143</v>
      </c>
      <c r="B8" s="3">
        <f t="shared" si="2"/>
        <v>25728900</v>
      </c>
      <c r="C8" s="3">
        <f>SUMIFS(Customers!$H:$H,Customers!$F:$F,"&gt;="&amp;A8,Customers!$F:$F,"&lt;="&amp;EOMONTH(A8,0))</f>
        <v>912600</v>
      </c>
      <c r="D8" s="5">
        <v>412000</v>
      </c>
      <c r="E8" s="5">
        <v>-45000</v>
      </c>
      <c r="F8" s="3">
        <f>-SUMIFS(Customers!$H:$H,Customers!$G:$G,"&gt;="&amp;A8,Customers!$G:$G,"&lt;="&amp;EOMONTH(A8,0))</f>
        <v>-231000</v>
      </c>
      <c r="G8" s="3">
        <f t="shared" si="0"/>
        <v>26777500</v>
      </c>
      <c r="H8" s="3">
        <f t="shared" si="1"/>
        <v>1048600</v>
      </c>
    </row>
    <row r="9" spans="1:8" x14ac:dyDescent="0.2">
      <c r="A9" s="4">
        <v>46174</v>
      </c>
      <c r="B9" s="3">
        <f t="shared" si="2"/>
        <v>26777500</v>
      </c>
      <c r="C9" s="3">
        <f>SUMIFS(Customers!$H:$H,Customers!$F:$F,"&gt;="&amp;A9,Customers!$F:$F,"&lt;="&amp;EOMONTH(A9,0))</f>
        <v>977600</v>
      </c>
      <c r="D9" s="5">
        <v>278000</v>
      </c>
      <c r="E9" s="5">
        <v>-118000</v>
      </c>
      <c r="F9" s="3">
        <f>-SUMIFS(Customers!$H:$H,Customers!$G:$G,"&gt;="&amp;A9,Customers!$G:$G,"&lt;="&amp;EOMONTH(A9,0))</f>
        <v>-266900</v>
      </c>
      <c r="G9" s="3">
        <f t="shared" si="0"/>
        <v>27648200</v>
      </c>
      <c r="H9" s="3">
        <f t="shared" si="1"/>
        <v>870700</v>
      </c>
    </row>
    <row r="10" spans="1:8" x14ac:dyDescent="0.2">
      <c r="A10" s="4">
        <v>46204</v>
      </c>
      <c r="B10" s="3">
        <f t="shared" si="2"/>
        <v>27648200</v>
      </c>
      <c r="C10" s="3">
        <f>SUMIFS(Customers!$H:$H,Customers!$F:$F,"&gt;="&amp;A10,Customers!$F:$F,"&lt;="&amp;EOMONTH(A10,0))</f>
        <v>235700</v>
      </c>
      <c r="D10" s="5">
        <v>258000</v>
      </c>
      <c r="E10" s="5">
        <v>-103000</v>
      </c>
      <c r="F10" s="3">
        <f>-SUMIFS(Customers!$H:$H,Customers!$G:$G,"&gt;="&amp;A10,Customers!$G:$G,"&lt;="&amp;EOMONTH(A10,0))</f>
        <v>-784600</v>
      </c>
      <c r="G10" s="3">
        <f t="shared" si="0"/>
        <v>27254300</v>
      </c>
      <c r="H10" s="3">
        <f t="shared" si="1"/>
        <v>-393900</v>
      </c>
    </row>
    <row r="11" spans="1:8" x14ac:dyDescent="0.2">
      <c r="A11" s="4">
        <v>46235</v>
      </c>
      <c r="B11" s="3">
        <f t="shared" si="2"/>
        <v>27254300</v>
      </c>
      <c r="C11" s="3">
        <f>SUMIFS(Customers!$H:$H,Customers!$F:$F,"&gt;="&amp;A11,Customers!$F:$F,"&lt;="&amp;EOMONTH(A11,0))</f>
        <v>528500</v>
      </c>
      <c r="D11" s="5">
        <v>203000</v>
      </c>
      <c r="E11" s="5">
        <v>-80000</v>
      </c>
      <c r="F11" s="3">
        <f>-SUMIFS(Customers!$H:$H,Customers!$G:$G,"&gt;="&amp;A11,Customers!$G:$G,"&lt;="&amp;EOMONTH(A11,0))</f>
        <v>-58800</v>
      </c>
      <c r="G11" s="3">
        <f t="shared" si="0"/>
        <v>27847000</v>
      </c>
      <c r="H11" s="3">
        <f t="shared" si="1"/>
        <v>592700</v>
      </c>
    </row>
    <row r="12" spans="1:8" x14ac:dyDescent="0.2">
      <c r="A12" s="4">
        <v>46266</v>
      </c>
      <c r="B12" s="3">
        <f t="shared" si="2"/>
        <v>27847000</v>
      </c>
      <c r="C12" s="3">
        <f>SUMIFS(Customers!$H:$H,Customers!$F:$F,"&gt;="&amp;A12,Customers!$F:$F,"&lt;="&amp;EOMONTH(A12,0))</f>
        <v>0</v>
      </c>
      <c r="D12" s="5">
        <v>387000</v>
      </c>
      <c r="E12" s="5">
        <v>-60000</v>
      </c>
      <c r="F12" s="3">
        <f>-SUMIFS(Customers!$H:$H,Customers!$G:$G,"&gt;="&amp;A12,Customers!$G:$G,"&lt;="&amp;EOMONTH(A12,0))</f>
        <v>-240600</v>
      </c>
      <c r="G12" s="3">
        <f t="shared" si="0"/>
        <v>27933400</v>
      </c>
      <c r="H12" s="3">
        <f t="shared" si="1"/>
        <v>86400</v>
      </c>
    </row>
    <row r="14" spans="1:8" x14ac:dyDescent="0.2">
      <c r="A14" s="6" t="s">
        <v>424</v>
      </c>
      <c r="B14" s="7">
        <f>(B4+SUM(D4:D12)+SUM(E4:E12)+SUM(F4:F12))/B4</f>
        <v>0.99049506309459467</v>
      </c>
    </row>
  </sheetData>
  <mergeCells count="1">
    <mergeCell ref="A1:H1"/>
  </mergeCell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2"/>
  <sheetViews>
    <sheetView workbookViewId="0"/>
  </sheetViews>
  <sheetFormatPr baseColWidth="10" defaultColWidth="8.83203125" defaultRowHeight="15" x14ac:dyDescent="0.2"/>
  <cols>
    <col min="1" max="1" width="30" customWidth="1"/>
    <col min="2" max="2" width="14" customWidth="1"/>
    <col min="3" max="3" width="52" customWidth="1"/>
    <col min="4" max="4" width="56" customWidth="1"/>
  </cols>
  <sheetData>
    <row r="1" spans="1:4" ht="19" x14ac:dyDescent="0.25">
      <c r="A1" s="11" t="s">
        <v>425</v>
      </c>
      <c r="B1" s="12"/>
      <c r="C1" s="12"/>
      <c r="D1" s="12"/>
    </row>
    <row r="3" spans="1:4" x14ac:dyDescent="0.2">
      <c r="A3" s="1" t="s">
        <v>426</v>
      </c>
      <c r="B3" s="1" t="s">
        <v>427</v>
      </c>
      <c r="C3" s="1" t="s">
        <v>428</v>
      </c>
      <c r="D3" s="1" t="s">
        <v>429</v>
      </c>
    </row>
    <row r="4" spans="1:4" x14ac:dyDescent="0.2">
      <c r="A4" s="6" t="s">
        <v>422</v>
      </c>
      <c r="B4" s="3">
        <f>'ARR Bridge'!G12</f>
        <v>27933400</v>
      </c>
      <c r="C4" t="s">
        <v>430</v>
      </c>
      <c r="D4" t="s">
        <v>431</v>
      </c>
    </row>
    <row r="5" spans="1:4" x14ac:dyDescent="0.2">
      <c r="A5" s="6" t="s">
        <v>432</v>
      </c>
      <c r="B5" s="3">
        <f>B4/12</f>
        <v>2327783.3333333335</v>
      </c>
      <c r="C5" t="s">
        <v>433</v>
      </c>
      <c r="D5" t="s">
        <v>434</v>
      </c>
    </row>
    <row r="6" spans="1:4" x14ac:dyDescent="0.2">
      <c r="A6" s="6" t="s">
        <v>435</v>
      </c>
      <c r="B6" s="5">
        <v>13539752</v>
      </c>
      <c r="C6" t="s">
        <v>436</v>
      </c>
      <c r="D6" t="s">
        <v>437</v>
      </c>
    </row>
    <row r="7" spans="1:4" x14ac:dyDescent="0.2">
      <c r="A7" s="6" t="s">
        <v>438</v>
      </c>
      <c r="B7" s="5">
        <v>2528525</v>
      </c>
      <c r="C7" t="s">
        <v>439</v>
      </c>
      <c r="D7" t="s">
        <v>440</v>
      </c>
    </row>
    <row r="8" spans="1:4" x14ac:dyDescent="0.2">
      <c r="A8" s="6" t="s">
        <v>441</v>
      </c>
      <c r="B8" s="5">
        <v>1075556</v>
      </c>
      <c r="C8" t="s">
        <v>442</v>
      </c>
      <c r="D8" t="s">
        <v>443</v>
      </c>
    </row>
    <row r="9" spans="1:4" x14ac:dyDescent="0.2">
      <c r="A9" s="6" t="s">
        <v>444</v>
      </c>
      <c r="B9" s="7">
        <f>(B6-B7-B8)/B6</f>
        <v>0.73381484387601781</v>
      </c>
      <c r="C9" t="s">
        <v>445</v>
      </c>
      <c r="D9" t="s">
        <v>446</v>
      </c>
    </row>
    <row r="10" spans="1:4" x14ac:dyDescent="0.2">
      <c r="A10" s="6" t="s">
        <v>447</v>
      </c>
      <c r="B10" s="3">
        <f>SUM('ARR Bridge'!H10:H12)</f>
        <v>285200</v>
      </c>
      <c r="C10" t="s">
        <v>448</v>
      </c>
      <c r="D10" t="s">
        <v>431</v>
      </c>
    </row>
    <row r="11" spans="1:4" x14ac:dyDescent="0.2">
      <c r="A11" s="6" t="s">
        <v>449</v>
      </c>
      <c r="B11" s="7">
        <f>'ARR Bridge'!B14</f>
        <v>0.99049506309459467</v>
      </c>
      <c r="C11" t="s">
        <v>450</v>
      </c>
      <c r="D11" t="s">
        <v>431</v>
      </c>
    </row>
    <row r="12" spans="1:4" x14ac:dyDescent="0.2">
      <c r="A12" s="6" t="s">
        <v>451</v>
      </c>
      <c r="B12" s="5">
        <v>-1172865</v>
      </c>
      <c r="C12" t="s">
        <v>452</v>
      </c>
      <c r="D12" t="s">
        <v>440</v>
      </c>
    </row>
    <row r="13" spans="1:4" x14ac:dyDescent="0.2">
      <c r="A13" s="6" t="s">
        <v>453</v>
      </c>
      <c r="B13" s="7">
        <f>B12/B6</f>
        <v>-8.662381703889406E-2</v>
      </c>
      <c r="C13" t="s">
        <v>454</v>
      </c>
      <c r="D13" t="s">
        <v>434</v>
      </c>
    </row>
    <row r="14" spans="1:4" x14ac:dyDescent="0.2">
      <c r="A14" s="6" t="s">
        <v>455</v>
      </c>
      <c r="B14" s="7">
        <f>B4/B15-1</f>
        <v>0.53606818806708834</v>
      </c>
      <c r="C14" t="s">
        <v>456</v>
      </c>
      <c r="D14" t="s">
        <v>434</v>
      </c>
    </row>
    <row r="15" spans="1:4" x14ac:dyDescent="0.2">
      <c r="A15" s="6" t="s">
        <v>457</v>
      </c>
      <c r="B15" s="5">
        <v>18185000</v>
      </c>
      <c r="C15" t="s">
        <v>458</v>
      </c>
      <c r="D15" t="s">
        <v>459</v>
      </c>
    </row>
    <row r="16" spans="1:4" x14ac:dyDescent="0.2">
      <c r="A16" s="6" t="s">
        <v>460</v>
      </c>
      <c r="B16" s="3">
        <f>B14+B13</f>
        <v>0.44944437102819429</v>
      </c>
      <c r="C16" t="s">
        <v>461</v>
      </c>
      <c r="D16" t="s">
        <v>434</v>
      </c>
    </row>
    <row r="17" spans="1:4" x14ac:dyDescent="0.2">
      <c r="A17" s="6" t="s">
        <v>462</v>
      </c>
      <c r="B17" s="5">
        <v>-1850000</v>
      </c>
      <c r="C17" t="s">
        <v>463</v>
      </c>
      <c r="D17" t="s">
        <v>464</v>
      </c>
    </row>
    <row r="18" spans="1:4" x14ac:dyDescent="0.2">
      <c r="A18" s="6" t="s">
        <v>465</v>
      </c>
      <c r="B18" s="3">
        <f>-B17/B10</f>
        <v>6.4866760168302946</v>
      </c>
      <c r="C18" t="s">
        <v>466</v>
      </c>
      <c r="D18" t="s">
        <v>434</v>
      </c>
    </row>
    <row r="21" spans="1:4" x14ac:dyDescent="0.2">
      <c r="A21" s="6" t="s">
        <v>467</v>
      </c>
    </row>
    <row r="22" spans="1:4" x14ac:dyDescent="0.2">
      <c r="A22" s="1" t="s">
        <v>2</v>
      </c>
      <c r="B22" s="1" t="s">
        <v>468</v>
      </c>
      <c r="C22" s="1" t="s">
        <v>469</v>
      </c>
      <c r="D22" s="1" t="s">
        <v>470</v>
      </c>
    </row>
    <row r="23" spans="1:4" x14ac:dyDescent="0.2">
      <c r="A23" t="s">
        <v>10</v>
      </c>
      <c r="B23" s="3">
        <f>SUMIFS(Customers!$H:$H,Customers!$C:$C,A23,Customers!$G:$G,"")</f>
        <v>1637900</v>
      </c>
      <c r="C23">
        <f>COUNTIFS(Customers!$C:$C,A23,Customers!$G:$G,"")</f>
        <v>82</v>
      </c>
      <c r="D23" s="3">
        <f>IFERROR(B23/C23,0)</f>
        <v>19974.390243902439</v>
      </c>
    </row>
    <row r="24" spans="1:4" x14ac:dyDescent="0.2">
      <c r="A24" t="s">
        <v>195</v>
      </c>
      <c r="B24" s="3">
        <f>SUMIFS(Customers!$H:$H,Customers!$C:$C,A24,Customers!$G:$G,"")</f>
        <v>6978500</v>
      </c>
      <c r="C24">
        <f>COUNTIFS(Customers!$C:$C,A24,Customers!$G:$G,"")</f>
        <v>67</v>
      </c>
      <c r="D24" s="3">
        <f>IFERROR(B24/C24,0)</f>
        <v>104156.71641791044</v>
      </c>
    </row>
    <row r="25" spans="1:4" x14ac:dyDescent="0.2">
      <c r="A25" t="s">
        <v>356</v>
      </c>
      <c r="B25" s="3">
        <f>SUMIFS(Customers!$H:$H,Customers!$C:$C,A25,Customers!$G:$G,"")</f>
        <v>17200000</v>
      </c>
      <c r="C25">
        <f>COUNTIFS(Customers!$C:$C,A25,Customers!$G:$G,"")</f>
        <v>29</v>
      </c>
      <c r="D25" s="3">
        <f>IFERROR(B25/C25,0)</f>
        <v>593103.44827586203</v>
      </c>
    </row>
    <row r="26" spans="1:4" x14ac:dyDescent="0.2">
      <c r="A26" s="6" t="s">
        <v>471</v>
      </c>
      <c r="B26" s="8">
        <f>SUM(B23:B25)</f>
        <v>25816400</v>
      </c>
      <c r="C26" s="9">
        <f>SUM(C23:C25)</f>
        <v>178</v>
      </c>
      <c r="D26" s="8">
        <f>IFERROR(B26/C26,0)</f>
        <v>145035.95505617978</v>
      </c>
    </row>
    <row r="29" spans="1:4" x14ac:dyDescent="0.2">
      <c r="A29" s="6" t="s">
        <v>472</v>
      </c>
    </row>
    <row r="30" spans="1:4" x14ac:dyDescent="0.2">
      <c r="A30" t="s">
        <v>473</v>
      </c>
    </row>
    <row r="31" spans="1:4" x14ac:dyDescent="0.2">
      <c r="A31" t="s">
        <v>474</v>
      </c>
    </row>
    <row r="32" spans="1:4" x14ac:dyDescent="0.2">
      <c r="A32" t="s">
        <v>475</v>
      </c>
    </row>
  </sheetData>
  <mergeCells count="1">
    <mergeCell ref="A1:D1"/>
  </mergeCell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workbookViewId="0"/>
  </sheetViews>
  <sheetFormatPr baseColWidth="10" defaultColWidth="8.83203125" defaultRowHeight="15" x14ac:dyDescent="0.2"/>
  <cols>
    <col min="1" max="1" width="10" customWidth="1"/>
    <col min="2" max="8" width="8" customWidth="1"/>
  </cols>
  <sheetData>
    <row r="1" spans="1:8" x14ac:dyDescent="0.2">
      <c r="A1" s="6" t="s">
        <v>476</v>
      </c>
    </row>
    <row r="2" spans="1:8" x14ac:dyDescent="0.2">
      <c r="A2" s="10" t="s">
        <v>477</v>
      </c>
    </row>
    <row r="4" spans="1:8" x14ac:dyDescent="0.2">
      <c r="A4" s="1" t="s">
        <v>478</v>
      </c>
      <c r="B4" s="1" t="s">
        <v>479</v>
      </c>
      <c r="C4" s="1" t="s">
        <v>480</v>
      </c>
      <c r="D4" s="1" t="s">
        <v>481</v>
      </c>
      <c r="E4" s="1" t="s">
        <v>482</v>
      </c>
      <c r="F4" s="1" t="s">
        <v>483</v>
      </c>
      <c r="G4" s="1" t="s">
        <v>484</v>
      </c>
      <c r="H4" s="1" t="s">
        <v>485</v>
      </c>
    </row>
    <row r="5" spans="1:8" x14ac:dyDescent="0.2">
      <c r="A5" t="s">
        <v>486</v>
      </c>
      <c r="B5" s="7">
        <v>1</v>
      </c>
      <c r="C5" s="7">
        <v>0.94899999999999995</v>
      </c>
      <c r="D5" s="7">
        <v>0.91700000000000004</v>
      </c>
      <c r="E5" s="7">
        <v>0.89600000000000002</v>
      </c>
      <c r="F5" s="7">
        <v>0.83499999999999996</v>
      </c>
      <c r="G5" s="7">
        <v>0.82</v>
      </c>
      <c r="H5" s="7">
        <v>0.76800000000000002</v>
      </c>
    </row>
    <row r="6" spans="1:8" x14ac:dyDescent="0.2">
      <c r="A6" t="s">
        <v>487</v>
      </c>
      <c r="B6" s="7">
        <v>1</v>
      </c>
      <c r="C6" s="7">
        <v>0.98099999999999998</v>
      </c>
      <c r="D6" s="7">
        <v>0.97099999999999997</v>
      </c>
      <c r="E6" s="7">
        <v>0.90500000000000003</v>
      </c>
      <c r="F6" s="7">
        <v>0.88500000000000001</v>
      </c>
      <c r="G6" s="7">
        <v>0.84499999999999997</v>
      </c>
      <c r="H6" s="7">
        <v>0.82699999999999996</v>
      </c>
    </row>
    <row r="7" spans="1:8" x14ac:dyDescent="0.2">
      <c r="A7" t="s">
        <v>488</v>
      </c>
      <c r="B7" s="7">
        <v>1</v>
      </c>
      <c r="C7" s="7">
        <v>0.98499999999999999</v>
      </c>
      <c r="D7" s="7">
        <v>0.92900000000000005</v>
      </c>
      <c r="E7" s="7">
        <v>0.89900000000000002</v>
      </c>
      <c r="F7" s="7">
        <v>0.88200000000000001</v>
      </c>
      <c r="G7" s="7">
        <v>0.86399999999999999</v>
      </c>
      <c r="H7" s="7">
        <v>0.81200000000000006</v>
      </c>
    </row>
    <row r="8" spans="1:8" x14ac:dyDescent="0.2">
      <c r="A8" t="s">
        <v>489</v>
      </c>
      <c r="B8" s="7">
        <v>1</v>
      </c>
      <c r="C8" s="7">
        <v>0.96799999999999997</v>
      </c>
      <c r="D8" s="7">
        <v>0.93</v>
      </c>
      <c r="E8" s="7">
        <v>0.91600000000000004</v>
      </c>
      <c r="F8" s="7">
        <v>0.871</v>
      </c>
      <c r="G8" s="7">
        <v>0.82099999999999995</v>
      </c>
    </row>
    <row r="9" spans="1:8" x14ac:dyDescent="0.2">
      <c r="A9" t="s">
        <v>490</v>
      </c>
      <c r="B9" s="7">
        <v>1</v>
      </c>
      <c r="C9" s="7">
        <v>0.95899999999999996</v>
      </c>
      <c r="D9" s="7">
        <v>0.91100000000000003</v>
      </c>
      <c r="E9" s="7">
        <v>0.85299999999999998</v>
      </c>
      <c r="F9" s="7">
        <v>0.83399999999999996</v>
      </c>
    </row>
    <row r="10" spans="1:8" x14ac:dyDescent="0.2">
      <c r="A10" t="s">
        <v>491</v>
      </c>
      <c r="B10" s="7">
        <v>1</v>
      </c>
      <c r="C10" s="7">
        <v>0.97499999999999998</v>
      </c>
      <c r="D10" s="7">
        <v>0.96399999999999997</v>
      </c>
      <c r="E10" s="7">
        <v>0.90200000000000002</v>
      </c>
    </row>
    <row r="11" spans="1:8" x14ac:dyDescent="0.2">
      <c r="A11" t="s">
        <v>492</v>
      </c>
      <c r="B11" s="7">
        <v>1</v>
      </c>
      <c r="C11" s="7">
        <v>0.97099999999999997</v>
      </c>
      <c r="D11" s="7">
        <v>0.92200000000000004</v>
      </c>
    </row>
    <row r="12" spans="1:8" x14ac:dyDescent="0.2">
      <c r="A12" t="s">
        <v>493</v>
      </c>
      <c r="B12" s="7">
        <v>1</v>
      </c>
      <c r="C12" s="7">
        <v>0.97599999999999998</v>
      </c>
    </row>
    <row r="13" spans="1:8" x14ac:dyDescent="0.2">
      <c r="A13" t="s">
        <v>494</v>
      </c>
      <c r="B13" s="7">
        <v>1</v>
      </c>
    </row>
    <row r="14" spans="1:8" x14ac:dyDescent="0.2">
      <c r="A14" t="s">
        <v>495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workbookViewId="0"/>
  </sheetViews>
  <sheetFormatPr baseColWidth="10" defaultColWidth="8.83203125" defaultRowHeight="15" x14ac:dyDescent="0.2"/>
  <cols>
    <col min="1" max="1" width="24" customWidth="1"/>
    <col min="2" max="2" width="90" customWidth="1"/>
    <col min="3" max="3" width="12" customWidth="1"/>
    <col min="4" max="4" width="13" customWidth="1"/>
    <col min="5" max="5" width="80" customWidth="1"/>
  </cols>
  <sheetData>
    <row r="1" spans="1:5" x14ac:dyDescent="0.2">
      <c r="A1" s="1" t="s">
        <v>426</v>
      </c>
      <c r="B1" s="1" t="s">
        <v>428</v>
      </c>
      <c r="C1" s="1" t="s">
        <v>496</v>
      </c>
      <c r="D1" s="1" t="s">
        <v>497</v>
      </c>
      <c r="E1" s="1" t="s">
        <v>498</v>
      </c>
    </row>
    <row r="2" spans="1:5" x14ac:dyDescent="0.2">
      <c r="A2" t="s">
        <v>468</v>
      </c>
      <c r="B2" t="s">
        <v>499</v>
      </c>
      <c r="C2" t="s">
        <v>500</v>
      </c>
      <c r="D2" s="2">
        <v>46295</v>
      </c>
      <c r="E2" t="s">
        <v>501</v>
      </c>
    </row>
    <row r="3" spans="1:5" x14ac:dyDescent="0.2">
      <c r="A3" t="s">
        <v>502</v>
      </c>
      <c r="B3" t="s">
        <v>503</v>
      </c>
      <c r="C3" t="s">
        <v>504</v>
      </c>
      <c r="D3" s="2">
        <v>46204</v>
      </c>
      <c r="E3" t="s">
        <v>505</v>
      </c>
    </row>
    <row r="4" spans="1:5" x14ac:dyDescent="0.2">
      <c r="A4" t="s">
        <v>506</v>
      </c>
      <c r="B4" t="s">
        <v>507</v>
      </c>
      <c r="C4" t="s">
        <v>508</v>
      </c>
      <c r="D4" s="2">
        <v>46204</v>
      </c>
      <c r="E4" t="s">
        <v>509</v>
      </c>
    </row>
    <row r="5" spans="1:5" x14ac:dyDescent="0.2">
      <c r="A5" t="s">
        <v>449</v>
      </c>
      <c r="B5" t="s">
        <v>510</v>
      </c>
      <c r="C5" t="s">
        <v>500</v>
      </c>
      <c r="D5" s="2">
        <v>46082</v>
      </c>
      <c r="E5" t="s">
        <v>511</v>
      </c>
    </row>
    <row r="6" spans="1:5" x14ac:dyDescent="0.2">
      <c r="A6" t="s">
        <v>460</v>
      </c>
      <c r="B6" t="s">
        <v>512</v>
      </c>
      <c r="C6" t="s">
        <v>508</v>
      </c>
      <c r="D6" s="2">
        <v>46204</v>
      </c>
      <c r="E6" t="s">
        <v>513</v>
      </c>
    </row>
    <row r="7" spans="1:5" x14ac:dyDescent="0.2">
      <c r="A7" t="s">
        <v>465</v>
      </c>
      <c r="B7" t="s">
        <v>514</v>
      </c>
      <c r="C7" t="s">
        <v>508</v>
      </c>
      <c r="D7" s="2">
        <v>46204</v>
      </c>
    </row>
    <row r="8" spans="1:5" x14ac:dyDescent="0.2">
      <c r="A8" t="s">
        <v>515</v>
      </c>
      <c r="B8" t="s">
        <v>516</v>
      </c>
      <c r="C8" t="s">
        <v>517</v>
      </c>
      <c r="D8" s="2">
        <v>46034</v>
      </c>
      <c r="E8" t="s">
        <v>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ARR Bridge</vt:lpstr>
      <vt:lpstr>KPI Summary</vt:lpstr>
      <vt:lpstr>Cohorts</vt:lpstr>
      <vt:lpstr>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Tran, Tam</cp:lastModifiedBy>
  <dcterms:created xsi:type="dcterms:W3CDTF">2026-10-12T18:19:58Z</dcterms:created>
  <dcterms:modified xsi:type="dcterms:W3CDTF">2026-10-12T18:20:02Z</dcterms:modified>
</cp:coreProperties>
</file>